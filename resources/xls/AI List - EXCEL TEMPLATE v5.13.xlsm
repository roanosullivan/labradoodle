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activeX/activeX3.bin" ContentType="application/vnd.ms-office.activeX"/>
  <Override PartName="/xl/activeX/activeX4.bin" ContentType="application/vnd.ms-office.activeX"/>
  <Override PartName="/xl/activeX/activeX9.xml" ContentType="application/vnd.ms-office.activeX+xml"/>
  <Default Extension="png" ContentType="image/png"/>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activeX/activeX7.xml" ContentType="application/vnd.ms-office.activeX+xml"/>
  <Override PartName="/xl/activeX/activeX8.xml" ContentType="application/vnd.ms-office.activeX+xml"/>
  <Override PartName="/xl/activeX/activeX5.xml" ContentType="application/vnd.ms-office.activeX+xml"/>
  <Override PartName="/xl/activeX/activeX6.xml" ContentType="application/vnd.ms-office.activeX+xml"/>
  <Override PartName="/xl/activeX/activeX11.bin" ContentType="application/vnd.ms-office.activeX"/>
  <Override PartName="/xl/activeX/activeX12.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10.bin" ContentType="application/vnd.ms-office.activeX"/>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activeX/activeX9.bin" ContentType="application/vnd.ms-office.activeX"/>
  <Override PartName="/xl/activeX/activeX11.xml" ContentType="application/vnd.ms-office.activeX+xml"/>
  <Override PartName="/xl/activeX/activeX12.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10.xml" ContentType="application/vnd.ms-office.activeX+xml"/>
  <Override PartName="/xl/activeX/activeX5.bin" ContentType="application/vnd.ms-office.activeX"/>
  <Override PartName="/xl/activeX/activeX6.bin" ContentType="application/vnd.ms-office.activeX"/>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updateLinks="never" codeName="ThisWorkbook" defaultThemeVersion="124226"/>
  <bookViews>
    <workbookView xWindow="-15" yWindow="7410" windowWidth="27285" windowHeight="7455" tabRatio="900"/>
  </bookViews>
  <sheets>
    <sheet name="&gt; AI LIST &lt;" sheetId="1" r:id="rId1"/>
    <sheet name="••Calendar" sheetId="4" state="veryHidden" r:id="rId2"/>
    <sheet name="••AI List Support" sheetId="6" state="veryHidden" r:id="rId3"/>
    <sheet name="&gt; HELP &lt;" sheetId="5" r:id="rId4"/>
    <sheet name="&lt;Add Your Sheets Here&gt;" sheetId="139" r:id="rId5"/>
  </sheets>
  <externalReferences>
    <externalReference r:id="rId6"/>
  </externalReferences>
  <definedNames>
    <definedName name="_xlnm._FilterDatabase" localSheetId="0" hidden="1">0</definedName>
    <definedName name="a" hidden="1">'[1]••AI List Support'!$E$26:$E$32</definedName>
    <definedName name="AI2003Version" localSheetId="0" hidden="1">FALSE</definedName>
    <definedName name="AIAutoBullet" localSheetId="0" hidden="1">TRUE</definedName>
    <definedName name="AIAutomationTabContent" localSheetId="0" hidden="1">'&gt; AI LIST &lt;'!$B$21</definedName>
    <definedName name="AICalendarLocation" localSheetId="0" hidden="1">'&gt; AI LIST &lt;'!$D$15</definedName>
    <definedName name="AICalendarSnapshot" localSheetId="1" hidden="1">'••Calendar'!$A$5:$CS$14</definedName>
    <definedName name="AICFDisableActiveRow" localSheetId="0" hidden="1">FALSE</definedName>
    <definedName name="AICFDisableAlternatingAndPriority" localSheetId="0" hidden="1">FALSE</definedName>
    <definedName name="AICFDisableClosed" localSheetId="0" hidden="1">FALSE</definedName>
    <definedName name="AIClosed" localSheetId="0" hidden="1">'&gt; AI LIST &lt;'!$C$10</definedName>
    <definedName name="AIClosed2" hidden="1">'&gt; AI LIST &lt;'!$C$10</definedName>
    <definedName name="AICollapsed" localSheetId="0" hidden="1">'&gt; AI LIST &lt;'!$B$10</definedName>
    <definedName name="AIContactInfoExcelAutomationHelp" localSheetId="3" hidden="1">'&gt; HELP &lt;'!$25:$27</definedName>
    <definedName name="AIContactInfoJTFAutomation" localSheetId="3" hidden="1">'&gt; HELP &lt;'!$22:$24</definedName>
    <definedName name="AICopyright" localSheetId="0" hidden="1">'&gt; AI LIST &lt;'!$O$45</definedName>
    <definedName name="AICurrentZoomLevel" localSheetId="0" hidden="1">130</definedName>
    <definedName name="AICustomMode" localSheetId="0" hidden="1">0</definedName>
    <definedName name="AICustomModeLast" localSheetId="0" hidden="1">41853</definedName>
    <definedName name="AICustomUndoStack" localSheetId="0" hidden="1">" "</definedName>
    <definedName name="AIDataValidationCategory" localSheetId="0" hidden="1">'&gt; AI LIST &lt;'!$E$50:$E$52</definedName>
    <definedName name="AIDataValidationHeaderRow" localSheetId="0" hidden="1">'&gt; AI LIST &lt;'!$B$49</definedName>
    <definedName name="AIDataValidationLastRow" localSheetId="0" hidden="1">'&gt; AI LIST &lt;'!$B$80</definedName>
    <definedName name="AIDataValidationPriority" localSheetId="0" hidden="1">'&gt; AI LIST &lt;'!$J$50:$J$58</definedName>
    <definedName name="AIDataValidationResp" localSheetId="0" hidden="1">'&gt; AI LIST &lt;'!$H$50:$H$51</definedName>
    <definedName name="AIDataValidationStatus" localSheetId="0" hidden="1">'&gt; AI LIST &lt;'!$L$50:$L$59</definedName>
    <definedName name="AIDataValidationSubcategory" localSheetId="0" hidden="1">'&gt; AI LIST &lt;'!$F$50</definedName>
    <definedName name="AIDateFormat" localSheetId="0" hidden="1">"ddd m/d/yyyy"</definedName>
    <definedName name="AIDateFormatSetManual" localSheetId="0" hidden="1">0</definedName>
    <definedName name="AIDetailRangeKey" localSheetId="0" hidden="1">'&gt; AI LIST &lt;'!$A$11</definedName>
    <definedName name="AIEmailAddressStorageStart" localSheetId="0" hidden="1">'&gt; AI LIST &lt;'!$H$50</definedName>
    <definedName name="AIExpanded" localSheetId="0" hidden="1">'&gt; AI LIST &lt;'!$B$9</definedName>
    <definedName name="AIFilename" localSheetId="0" hidden="1">MID(CELL("filename",'&gt; AI LIST &lt;'!$A$1),FIND("[",CELL("filename",'&gt; AI LIST &lt;'!$A$1))+1, FIND(".xls",CELL("filename",'&gt; AI LIST &lt;'!$A$1))-FIND("[",CELL("filename",'&gt; AI LIST &lt;'!$A$1))-1)</definedName>
    <definedName name="AIFileNameEndText" localSheetId="0" hidden="1">" "</definedName>
    <definedName name="AIFileNameTitleCell" localSheetId="0" hidden="1">'&gt; AI LIST &lt;'!$D$12</definedName>
    <definedName name="AIFooter" localSheetId="0" hidden="1">'&gt; AI LIST &lt;'!$B$45</definedName>
    <definedName name="AIFormatGroupDetailNew" localSheetId="0" hidden="1">'&gt; AI LIST &lt;'!$B$6</definedName>
    <definedName name="AIFormatGroupHeader" localSheetId="0" hidden="1">'&gt; AI LIST &lt;'!$B$2:$O$2</definedName>
    <definedName name="AIFormatGroupHeaderClosed" localSheetId="0" hidden="1">'&gt; AI LIST &lt;'!$B$7:$O$7</definedName>
    <definedName name="AIFormatGroupHeaderNew" localSheetId="0" hidden="1">'&gt; AI LIST &lt;'!$B$5:$O$5</definedName>
    <definedName name="AIFormatRow" localSheetId="0" hidden="1">'&gt; AI LIST &lt;'!$B$3:$W$3</definedName>
    <definedName name="AIFullScreenSetting" localSheetId="0" hidden="1">FALSE</definedName>
    <definedName name="AIHelpSheet" localSheetId="3" hidden="1">'&gt; HELP &lt;'!$A$2</definedName>
    <definedName name="AIHiddenVisibility" localSheetId="0" hidden="1">TRUE</definedName>
    <definedName name="AIHideValuesStartRow" localSheetId="0" hidden="1">'&gt; AI LIST &lt;'!$B$89</definedName>
    <definedName name="AIListFile_UsedForDetectionByOtherFiles" localSheetId="0" hidden="1">TRUE</definedName>
    <definedName name="AIListPassword" localSheetId="0" hidden="1">0</definedName>
    <definedName name="AILogoOnDate" localSheetId="0" hidden="1">0</definedName>
    <definedName name="AIMenuTop" localSheetId="0" hidden="1">259</definedName>
    <definedName name="AIMessageAutomationDisabled" localSheetId="0" hidden="1">'&gt; AI LIST &lt;'!$B$24</definedName>
    <definedName name="AIMessageBrokenByExcel2003" localSheetId="0" hidden="1">'&gt; AI LIST &lt;'!$B$26</definedName>
    <definedName name="AIMessageExcel2003Issues" localSheetId="0" hidden="1">'&gt; AI LIST &lt;'!$B$25</definedName>
    <definedName name="AIMessageRestrictedPerformance" localSheetId="0" hidden="1">'&gt; AI LIST &lt;'!$B$27</definedName>
    <definedName name="AIMessageWarningText" localSheetId="0" hidden="1">'&gt; AI LIST &lt;'!$B$23</definedName>
    <definedName name="AIOpen" localSheetId="0" hidden="1">'&gt; AI LIST &lt;'!$C$9</definedName>
    <definedName name="AIReadOnlyMode" localSheetId="0" hidden="1">FALSE</definedName>
    <definedName name="AIScrollArrows" localSheetId="0" hidden="1">FALSE</definedName>
    <definedName name="AISheet" localSheetId="0" hidden="1">'&gt; AI LIST &lt;'!$A$1</definedName>
    <definedName name="AIShowValuesRow" localSheetId="0" hidden="1">'&gt; AI LIST &lt;'!$B$86</definedName>
    <definedName name="AISortAscending" localSheetId="0" hidden="1">'&gt; AI LIST &lt;'!$D$9</definedName>
    <definedName name="AISortDescending" localSheetId="0" hidden="1">'&gt; AI LIST &lt;'!$D$10</definedName>
    <definedName name="AITitle" localSheetId="0" hidden="1">" "</definedName>
    <definedName name="AIUninstallOnExit" hidden="1">FALSE</definedName>
    <definedName name="AIUserVersion" hidden="1">"ExcelAutomationHelp"</definedName>
    <definedName name="AIVersionNumAsText" localSheetId="0" hidden="1">"v5.13"</definedName>
    <definedName name="CalendarMonthOffset" localSheetId="1">'••Calendar'!$I$3</definedName>
    <definedName name="HELP">'&gt; HELP &lt;'!$A$1</definedName>
    <definedName name="_xlnm.Print_Area" localSheetId="0" hidden="1">'&gt; AI LIST &lt;'!$B$12:$O$45</definedName>
    <definedName name="_xlnm.Print_Titles" localSheetId="0" hidden="1">'&gt; AI LIST &lt;'!$29:$29</definedName>
    <definedName name="Registration" localSheetId="2" hidden="1">'••AI List Support'!$A$18:$D$22</definedName>
    <definedName name="RowAssignment" localSheetId="2" hidden="1">'••AI List Support'!$A$1:$D$15</definedName>
    <definedName name="RowAssignmentStart" localSheetId="2" hidden="1">'••AI List Support'!$C$3</definedName>
  </definedNames>
  <calcPr calcId="125725"/>
</workbook>
</file>

<file path=xl/calcChain.xml><?xml version="1.0" encoding="utf-8"?>
<calcChain xmlns="http://schemas.openxmlformats.org/spreadsheetml/2006/main">
  <c r="W44" i="1"/>
  <c r="V44"/>
  <c r="U44"/>
  <c r="T44"/>
  <c r="S44"/>
  <c r="W42"/>
  <c r="V42"/>
  <c r="U42"/>
  <c r="T42"/>
  <c r="S42"/>
  <c r="W41"/>
  <c r="V41"/>
  <c r="U41"/>
  <c r="T41"/>
  <c r="S41"/>
  <c r="W40"/>
  <c r="V40"/>
  <c r="U40"/>
  <c r="T40"/>
  <c r="S40"/>
  <c r="W39"/>
  <c r="V39"/>
  <c r="U39"/>
  <c r="T39"/>
  <c r="S39"/>
  <c r="W37"/>
  <c r="V37"/>
  <c r="U37"/>
  <c r="T37"/>
  <c r="S37"/>
  <c r="W36"/>
  <c r="V36"/>
  <c r="U36"/>
  <c r="T36"/>
  <c r="S36"/>
  <c r="W35"/>
  <c r="V35"/>
  <c r="U35"/>
  <c r="T35"/>
  <c r="S35"/>
  <c r="W34"/>
  <c r="V34"/>
  <c r="U34"/>
  <c r="T34"/>
  <c r="S34"/>
  <c r="W33"/>
  <c r="V33"/>
  <c r="U33"/>
  <c r="T33"/>
  <c r="S33"/>
  <c r="W31"/>
  <c r="V31"/>
  <c r="U31"/>
  <c r="T31"/>
  <c r="S31"/>
  <c r="T3" l="1"/>
  <c r="W3"/>
  <c r="V3"/>
  <c r="U3"/>
  <c r="S3"/>
  <c r="B29" i="5" l="1"/>
  <c r="O45" i="1" s="1"/>
  <c r="A15" i="6" l="1"/>
  <c r="A22"/>
  <c r="B45" i="1"/>
  <c r="C6" i="5" s="1"/>
  <c r="B16" i="4" l="1"/>
  <c r="C72" i="5"/>
  <c r="O14" i="1"/>
  <c r="B65" i="5" l="1"/>
  <c r="B66"/>
  <c r="B48"/>
  <c r="B47" l="1"/>
  <c r="C20" i="6"/>
  <c r="D12" i="1" l="1"/>
  <c r="A11" l="1"/>
  <c r="B97" i="5" l="1"/>
  <c r="B96"/>
  <c r="B17"/>
  <c r="B16"/>
  <c r="I2" i="4"/>
  <c r="B6" s="1"/>
  <c r="B8" l="1"/>
  <c r="C8" s="1"/>
  <c r="D8" s="1"/>
  <c r="E8" s="1"/>
  <c r="F8" s="1"/>
  <c r="G8" s="1"/>
  <c r="H8" s="1"/>
  <c r="B9" s="1"/>
  <c r="C9" s="1"/>
  <c r="D9" s="1"/>
  <c r="E9" s="1"/>
  <c r="F9" s="1"/>
  <c r="G9" s="1"/>
  <c r="H9" s="1"/>
  <c r="B10" s="1"/>
  <c r="C10" s="1"/>
  <c r="D10" s="1"/>
  <c r="E10" s="1"/>
  <c r="F10" s="1"/>
  <c r="G10" s="1"/>
  <c r="H10" s="1"/>
  <c r="B11" s="1"/>
  <c r="C11" s="1"/>
  <c r="D11" s="1"/>
  <c r="E11" s="1"/>
  <c r="F11" s="1"/>
  <c r="G11" s="1"/>
  <c r="H11" s="1"/>
  <c r="B12" s="1"/>
  <c r="C12" s="1"/>
  <c r="D12" s="1"/>
  <c r="E12" s="1"/>
  <c r="F12" s="1"/>
  <c r="G12" s="1"/>
  <c r="H12" s="1"/>
  <c r="B13" s="1"/>
  <c r="C13" s="1"/>
  <c r="D13" s="1"/>
  <c r="E13" s="1"/>
  <c r="F13" s="1"/>
  <c r="G13" s="1"/>
  <c r="H13" s="1"/>
  <c r="J6"/>
  <c r="R6" l="1"/>
  <c r="J8"/>
  <c r="K8" s="1"/>
  <c r="L8" s="1"/>
  <c r="M8" s="1"/>
  <c r="N8" s="1"/>
  <c r="O8" s="1"/>
  <c r="P8" s="1"/>
  <c r="J9" s="1"/>
  <c r="K9" s="1"/>
  <c r="L9" s="1"/>
  <c r="M9" s="1"/>
  <c r="N9" s="1"/>
  <c r="O9" s="1"/>
  <c r="P9" s="1"/>
  <c r="J10" s="1"/>
  <c r="K10" s="1"/>
  <c r="L10" s="1"/>
  <c r="M10" s="1"/>
  <c r="N10" s="1"/>
  <c r="O10" s="1"/>
  <c r="P10" s="1"/>
  <c r="J11" s="1"/>
  <c r="K11" s="1"/>
  <c r="L11" s="1"/>
  <c r="M11" s="1"/>
  <c r="N11" s="1"/>
  <c r="O11" s="1"/>
  <c r="P11" s="1"/>
  <c r="J12" s="1"/>
  <c r="K12" s="1"/>
  <c r="L12" s="1"/>
  <c r="M12" s="1"/>
  <c r="N12" s="1"/>
  <c r="O12" s="1"/>
  <c r="P12" s="1"/>
  <c r="J13" s="1"/>
  <c r="K13" s="1"/>
  <c r="L13" s="1"/>
  <c r="M13" s="1"/>
  <c r="N13" s="1"/>
  <c r="O13" s="1"/>
  <c r="P13" s="1"/>
  <c r="R8" l="1"/>
  <c r="S8" s="1"/>
  <c r="T8" s="1"/>
  <c r="U8" s="1"/>
  <c r="V8" s="1"/>
  <c r="W8" s="1"/>
  <c r="X8" s="1"/>
  <c r="R9" s="1"/>
  <c r="S9" s="1"/>
  <c r="T9" s="1"/>
  <c r="U9" s="1"/>
  <c r="V9" s="1"/>
  <c r="W9" s="1"/>
  <c r="X9" s="1"/>
  <c r="R10" s="1"/>
  <c r="S10" s="1"/>
  <c r="T10" s="1"/>
  <c r="U10" s="1"/>
  <c r="V10" s="1"/>
  <c r="W10" s="1"/>
  <c r="X10" s="1"/>
  <c r="R11" s="1"/>
  <c r="S11" s="1"/>
  <c r="T11" s="1"/>
  <c r="U11" s="1"/>
  <c r="V11" s="1"/>
  <c r="W11" s="1"/>
  <c r="X11" s="1"/>
  <c r="R12" s="1"/>
  <c r="S12" s="1"/>
  <c r="T12" s="1"/>
  <c r="U12" s="1"/>
  <c r="V12" s="1"/>
  <c r="W12" s="1"/>
  <c r="X12" s="1"/>
  <c r="R13" s="1"/>
  <c r="S13" s="1"/>
  <c r="T13" s="1"/>
  <c r="U13" s="1"/>
  <c r="V13" s="1"/>
  <c r="W13" s="1"/>
  <c r="X13" s="1"/>
  <c r="Z6"/>
  <c r="AH6" l="1"/>
  <c r="Z8"/>
  <c r="AA8" s="1"/>
  <c r="AB8" s="1"/>
  <c r="AC8" s="1"/>
  <c r="AD8" s="1"/>
  <c r="AE8" s="1"/>
  <c r="AF8" s="1"/>
  <c r="Z9" s="1"/>
  <c r="AA9" s="1"/>
  <c r="AB9" s="1"/>
  <c r="AC9" s="1"/>
  <c r="AD9" s="1"/>
  <c r="AE9" s="1"/>
  <c r="AF9" s="1"/>
  <c r="Z10" s="1"/>
  <c r="AA10" s="1"/>
  <c r="AB10" s="1"/>
  <c r="AC10" s="1"/>
  <c r="AD10" s="1"/>
  <c r="AE10" s="1"/>
  <c r="AF10" s="1"/>
  <c r="Z11" s="1"/>
  <c r="AA11" s="1"/>
  <c r="AB11" s="1"/>
  <c r="AC11" s="1"/>
  <c r="AD11" s="1"/>
  <c r="AE11" s="1"/>
  <c r="AF11" s="1"/>
  <c r="Z12" s="1"/>
  <c r="AA12" s="1"/>
  <c r="AB12" s="1"/>
  <c r="AC12" s="1"/>
  <c r="AD12" s="1"/>
  <c r="AE12" s="1"/>
  <c r="AF12" s="1"/>
  <c r="Z13" s="1"/>
  <c r="AA13" s="1"/>
  <c r="AB13" s="1"/>
  <c r="AC13" s="1"/>
  <c r="AD13" s="1"/>
  <c r="AE13" s="1"/>
  <c r="AF13" s="1"/>
  <c r="AH8" l="1"/>
  <c r="AI8" s="1"/>
  <c r="AJ8" s="1"/>
  <c r="AK8" s="1"/>
  <c r="AL8" s="1"/>
  <c r="AM8" s="1"/>
  <c r="AN8" s="1"/>
  <c r="AH9" s="1"/>
  <c r="AI9" s="1"/>
  <c r="AJ9" s="1"/>
  <c r="AK9" s="1"/>
  <c r="AL9" s="1"/>
  <c r="AM9" s="1"/>
  <c r="AN9" s="1"/>
  <c r="AH10" s="1"/>
  <c r="AI10" s="1"/>
  <c r="AJ10" s="1"/>
  <c r="AK10" s="1"/>
  <c r="AL10" s="1"/>
  <c r="AM10" s="1"/>
  <c r="AN10" s="1"/>
  <c r="AH11" s="1"/>
  <c r="AI11" s="1"/>
  <c r="AJ11" s="1"/>
  <c r="AK11" s="1"/>
  <c r="AL11" s="1"/>
  <c r="AM11" s="1"/>
  <c r="AN11" s="1"/>
  <c r="AH12" s="1"/>
  <c r="AI12" s="1"/>
  <c r="AJ12" s="1"/>
  <c r="AK12" s="1"/>
  <c r="AL12" s="1"/>
  <c r="AM12" s="1"/>
  <c r="AN12" s="1"/>
  <c r="AH13" s="1"/>
  <c r="AI13" s="1"/>
  <c r="AJ13" s="1"/>
  <c r="AK13" s="1"/>
  <c r="AL13" s="1"/>
  <c r="AM13" s="1"/>
  <c r="AN13" s="1"/>
  <c r="AP6"/>
  <c r="AX6" l="1"/>
  <c r="AP8"/>
  <c r="AQ8" s="1"/>
  <c r="AR8" s="1"/>
  <c r="AS8" s="1"/>
  <c r="AT8" s="1"/>
  <c r="AU8" s="1"/>
  <c r="AV8" s="1"/>
  <c r="AP9" s="1"/>
  <c r="AQ9" s="1"/>
  <c r="AR9" s="1"/>
  <c r="AS9" s="1"/>
  <c r="AT9" s="1"/>
  <c r="AU9" s="1"/>
  <c r="AV9" s="1"/>
  <c r="AP10" s="1"/>
  <c r="AQ10" s="1"/>
  <c r="AR10" s="1"/>
  <c r="AS10" s="1"/>
  <c r="AT10" s="1"/>
  <c r="AU10" s="1"/>
  <c r="AV10" s="1"/>
  <c r="AP11" s="1"/>
  <c r="AQ11" s="1"/>
  <c r="AR11" s="1"/>
  <c r="AS11" s="1"/>
  <c r="AT11" s="1"/>
  <c r="AU11" s="1"/>
  <c r="AV11" s="1"/>
  <c r="AP12" s="1"/>
  <c r="AQ12" s="1"/>
  <c r="AR12" s="1"/>
  <c r="AS12" s="1"/>
  <c r="AT12" s="1"/>
  <c r="AU12" s="1"/>
  <c r="AV12" s="1"/>
  <c r="AP13" s="1"/>
  <c r="AQ13" s="1"/>
  <c r="AR13" s="1"/>
  <c r="AS13" s="1"/>
  <c r="AT13" s="1"/>
  <c r="AU13" s="1"/>
  <c r="AV13" s="1"/>
  <c r="AX8" l="1"/>
  <c r="AY8" s="1"/>
  <c r="AZ8" s="1"/>
  <c r="BA8" s="1"/>
  <c r="BB8" s="1"/>
  <c r="BC8" s="1"/>
  <c r="BD8" s="1"/>
  <c r="AX9" s="1"/>
  <c r="AY9" s="1"/>
  <c r="AZ9" s="1"/>
  <c r="BA9" s="1"/>
  <c r="BB9" s="1"/>
  <c r="BC9" s="1"/>
  <c r="BD9" s="1"/>
  <c r="AX10" s="1"/>
  <c r="AY10" s="1"/>
  <c r="AZ10" s="1"/>
  <c r="BA10" s="1"/>
  <c r="BB10" s="1"/>
  <c r="BC10" s="1"/>
  <c r="BD10" s="1"/>
  <c r="AX11" s="1"/>
  <c r="AY11" s="1"/>
  <c r="AZ11" s="1"/>
  <c r="BA11" s="1"/>
  <c r="BB11" s="1"/>
  <c r="BC11" s="1"/>
  <c r="BD11" s="1"/>
  <c r="AX12" s="1"/>
  <c r="AY12" s="1"/>
  <c r="AZ12" s="1"/>
  <c r="BA12" s="1"/>
  <c r="BB12" s="1"/>
  <c r="BC12" s="1"/>
  <c r="BD12" s="1"/>
  <c r="AX13" s="1"/>
  <c r="AY13" s="1"/>
  <c r="AZ13" s="1"/>
  <c r="BA13" s="1"/>
  <c r="BB13" s="1"/>
  <c r="BC13" s="1"/>
  <c r="BD13" s="1"/>
  <c r="BF6"/>
  <c r="BN6" l="1"/>
  <c r="BF8"/>
  <c r="BG8" s="1"/>
  <c r="BH8" s="1"/>
  <c r="BI8" s="1"/>
  <c r="BJ8" s="1"/>
  <c r="BK8" s="1"/>
  <c r="BL8" s="1"/>
  <c r="BF9" s="1"/>
  <c r="BG9" s="1"/>
  <c r="BH9" s="1"/>
  <c r="BI9" s="1"/>
  <c r="BJ9" s="1"/>
  <c r="BK9" s="1"/>
  <c r="BL9" s="1"/>
  <c r="BF10" s="1"/>
  <c r="BG10" s="1"/>
  <c r="BH10" s="1"/>
  <c r="BI10" s="1"/>
  <c r="BJ10" s="1"/>
  <c r="BK10" s="1"/>
  <c r="BL10" s="1"/>
  <c r="BF11" s="1"/>
  <c r="BG11" s="1"/>
  <c r="BH11" s="1"/>
  <c r="BI11" s="1"/>
  <c r="BJ11" s="1"/>
  <c r="BK11" s="1"/>
  <c r="BL11" s="1"/>
  <c r="BF12" s="1"/>
  <c r="BG12" s="1"/>
  <c r="BH12" s="1"/>
  <c r="BI12" s="1"/>
  <c r="BJ12" s="1"/>
  <c r="BK12" s="1"/>
  <c r="BL12" s="1"/>
  <c r="BF13" s="1"/>
  <c r="BG13" s="1"/>
  <c r="BH13" s="1"/>
  <c r="BI13" s="1"/>
  <c r="BJ13" s="1"/>
  <c r="BK13" s="1"/>
  <c r="BL13" s="1"/>
  <c r="BN8" l="1"/>
  <c r="BO8" s="1"/>
  <c r="BP8" s="1"/>
  <c r="BQ8" s="1"/>
  <c r="BR8" s="1"/>
  <c r="BS8" s="1"/>
  <c r="BT8" s="1"/>
  <c r="BN9" s="1"/>
  <c r="BO9" s="1"/>
  <c r="BP9" s="1"/>
  <c r="BQ9" s="1"/>
  <c r="BR9" s="1"/>
  <c r="BS9" s="1"/>
  <c r="BT9" s="1"/>
  <c r="BN10" s="1"/>
  <c r="BO10" s="1"/>
  <c r="BP10" s="1"/>
  <c r="BQ10" s="1"/>
  <c r="BR10" s="1"/>
  <c r="BS10" s="1"/>
  <c r="BT10" s="1"/>
  <c r="BN11" s="1"/>
  <c r="BO11" s="1"/>
  <c r="BP11" s="1"/>
  <c r="BQ11" s="1"/>
  <c r="BR11" s="1"/>
  <c r="BS11" s="1"/>
  <c r="BT11" s="1"/>
  <c r="BN12" s="1"/>
  <c r="BO12" s="1"/>
  <c r="BP12" s="1"/>
  <c r="BQ12" s="1"/>
  <c r="BR12" s="1"/>
  <c r="BS12" s="1"/>
  <c r="BT12" s="1"/>
  <c r="BN13" s="1"/>
  <c r="BO13" s="1"/>
  <c r="BP13" s="1"/>
  <c r="BQ13" s="1"/>
  <c r="BR13" s="1"/>
  <c r="BS13" s="1"/>
  <c r="BT13" s="1"/>
  <c r="BV6"/>
  <c r="CD6" l="1"/>
  <c r="BV8"/>
  <c r="BW8" s="1"/>
  <c r="BX8" s="1"/>
  <c r="BY8" s="1"/>
  <c r="BZ8" s="1"/>
  <c r="CA8" s="1"/>
  <c r="CB8" s="1"/>
  <c r="BV9" s="1"/>
  <c r="BW9" s="1"/>
  <c r="BX9" s="1"/>
  <c r="BY9" s="1"/>
  <c r="BZ9" s="1"/>
  <c r="CA9" s="1"/>
  <c r="CB9" s="1"/>
  <c r="BV10" s="1"/>
  <c r="BW10" s="1"/>
  <c r="BX10" s="1"/>
  <c r="BY10" s="1"/>
  <c r="BZ10" s="1"/>
  <c r="CA10" s="1"/>
  <c r="CB10" s="1"/>
  <c r="BV11" s="1"/>
  <c r="BW11" s="1"/>
  <c r="BX11" s="1"/>
  <c r="BY11" s="1"/>
  <c r="BZ11" s="1"/>
  <c r="CA11" s="1"/>
  <c r="CB11" s="1"/>
  <c r="BV12" s="1"/>
  <c r="BW12" s="1"/>
  <c r="BX12" s="1"/>
  <c r="BY12" s="1"/>
  <c r="BZ12" s="1"/>
  <c r="CA12" s="1"/>
  <c r="CB12" s="1"/>
  <c r="BV13" s="1"/>
  <c r="BW13" s="1"/>
  <c r="BX13" s="1"/>
  <c r="BY13" s="1"/>
  <c r="BZ13" s="1"/>
  <c r="CA13" s="1"/>
  <c r="CB13" s="1"/>
  <c r="CD8" l="1"/>
  <c r="CE8" s="1"/>
  <c r="CF8" s="1"/>
  <c r="CG8" s="1"/>
  <c r="CH8" s="1"/>
  <c r="CI8" s="1"/>
  <c r="CJ8" s="1"/>
  <c r="CD9" s="1"/>
  <c r="CE9" s="1"/>
  <c r="CF9" s="1"/>
  <c r="CG9" s="1"/>
  <c r="CH9" s="1"/>
  <c r="CI9" s="1"/>
  <c r="CJ9" s="1"/>
  <c r="CD10" s="1"/>
  <c r="CE10" s="1"/>
  <c r="CF10" s="1"/>
  <c r="CG10" s="1"/>
  <c r="CH10" s="1"/>
  <c r="CI10" s="1"/>
  <c r="CJ10" s="1"/>
  <c r="CD11" s="1"/>
  <c r="CE11" s="1"/>
  <c r="CF11" s="1"/>
  <c r="CG11" s="1"/>
  <c r="CH11" s="1"/>
  <c r="CI11" s="1"/>
  <c r="CJ11" s="1"/>
  <c r="CD12" s="1"/>
  <c r="CE12" s="1"/>
  <c r="CF12" s="1"/>
  <c r="CG12" s="1"/>
  <c r="CH12" s="1"/>
  <c r="CI12" s="1"/>
  <c r="CJ12" s="1"/>
  <c r="CD13" s="1"/>
  <c r="CE13" s="1"/>
  <c r="CF13" s="1"/>
  <c r="CG13" s="1"/>
  <c r="CH13" s="1"/>
  <c r="CI13" s="1"/>
  <c r="CJ13" s="1"/>
  <c r="CL6"/>
  <c r="CL8" l="1"/>
  <c r="CM8" s="1"/>
  <c r="CN8" s="1"/>
  <c r="CO8" s="1"/>
  <c r="CP8" s="1"/>
  <c r="CQ8" s="1"/>
  <c r="CR8" s="1"/>
  <c r="CL9" s="1"/>
  <c r="CM9" s="1"/>
  <c r="CN9" s="1"/>
  <c r="CO9" s="1"/>
  <c r="CP9" s="1"/>
  <c r="CQ9" s="1"/>
  <c r="CR9" s="1"/>
  <c r="CL10" s="1"/>
  <c r="CM10" s="1"/>
  <c r="CN10" s="1"/>
  <c r="CO10" s="1"/>
  <c r="CP10" s="1"/>
  <c r="CQ10" s="1"/>
  <c r="CR10" s="1"/>
  <c r="CL11" s="1"/>
  <c r="CM11" s="1"/>
  <c r="CN11" s="1"/>
  <c r="CO11" s="1"/>
  <c r="CP11" s="1"/>
  <c r="CQ11" s="1"/>
  <c r="CR11" s="1"/>
  <c r="CL12" s="1"/>
  <c r="CM12" s="1"/>
  <c r="CN12" s="1"/>
  <c r="CO12" s="1"/>
  <c r="CP12" s="1"/>
  <c r="CQ12" s="1"/>
  <c r="CR12" s="1"/>
  <c r="CL13" s="1"/>
  <c r="CM13" s="1"/>
  <c r="CN13" s="1"/>
  <c r="CO13" s="1"/>
  <c r="CP13" s="1"/>
  <c r="CQ13" s="1"/>
  <c r="CR13" s="1"/>
  <c r="B14" i="1" l="1"/>
</calcChain>
</file>

<file path=xl/sharedStrings.xml><?xml version="1.0" encoding="utf-8"?>
<sst xmlns="http://schemas.openxmlformats.org/spreadsheetml/2006/main" count="378" uniqueCount="231">
  <si>
    <t>Subcategory</t>
  </si>
  <si>
    <t>Action</t>
  </si>
  <si>
    <t>Resp</t>
  </si>
  <si>
    <t>Priority</t>
  </si>
  <si>
    <t>Status</t>
  </si>
  <si>
    <t>Unique ID</t>
  </si>
  <si>
    <t>Last Sync</t>
  </si>
  <si>
    <t>FullFIleName At Sync</t>
  </si>
  <si>
    <t>Due Group</t>
  </si>
  <si>
    <t>☐</t>
  </si>
  <si>
    <t>☑</t>
  </si>
  <si>
    <t>◢ Open</t>
  </si>
  <si>
    <t>◢ New (since last sort)</t>
  </si>
  <si>
    <t>Default Column widths</t>
  </si>
  <si>
    <t>▶</t>
  </si>
  <si>
    <t xml:space="preserve"> ▾</t>
  </si>
  <si>
    <t xml:space="preserve"> ▴</t>
  </si>
  <si>
    <t>Default Start Date:</t>
  </si>
  <si>
    <t>Month Offset:</t>
  </si>
  <si>
    <t>S</t>
  </si>
  <si>
    <t>M</t>
  </si>
  <si>
    <t>T</t>
  </si>
  <si>
    <t>W</t>
  </si>
  <si>
    <t>F</t>
  </si>
  <si>
    <t>•</t>
  </si>
  <si>
    <t>►</t>
  </si>
  <si>
    <t>► Terms &amp; Conditions ◄</t>
  </si>
  <si>
    <t>1)</t>
  </si>
  <si>
    <t>2)</t>
  </si>
  <si>
    <t>3)</t>
  </si>
  <si>
    <t>4)</t>
  </si>
  <si>
    <t>5)</t>
  </si>
  <si>
    <t>AICollapseCol</t>
  </si>
  <si>
    <t>AIClosedCol</t>
  </si>
  <si>
    <t>AINumCol</t>
  </si>
  <si>
    <t>AICategoryCol</t>
  </si>
  <si>
    <t>AISubcategoryCol</t>
  </si>
  <si>
    <t>AIActionCol</t>
  </si>
  <si>
    <t>AIDescCol</t>
  </si>
  <si>
    <t>AIRespCol</t>
  </si>
  <si>
    <t>AIPriorityCol</t>
  </si>
  <si>
    <t>AIDueCol</t>
  </si>
  <si>
    <t>AIStatusCol</t>
  </si>
  <si>
    <t>AICommentCol</t>
  </si>
  <si>
    <t>AICreatedCol</t>
  </si>
  <si>
    <t>AIUpdatedCol</t>
  </si>
  <si>
    <t>AIUniqueIDCol</t>
  </si>
  <si>
    <t>AILastSyncCol</t>
  </si>
  <si>
    <t>AIFullFileNameAtSyncCol</t>
  </si>
  <si>
    <t>AINewOpenClosedCol</t>
  </si>
  <si>
    <t>AIDueGroupCol</t>
  </si>
  <si>
    <t>◢ Closed</t>
  </si>
  <si>
    <t>User Tips:</t>
  </si>
  <si>
    <t>Copyright applies to all company standard content, visual style, and standard programming code.  Unlawful to duplicate/modify standards without consent.</t>
  </si>
  <si>
    <t>New Open Closed</t>
  </si>
  <si>
    <t>◢</t>
  </si>
  <si>
    <t>Created Group</t>
  </si>
  <si>
    <t>Updated Group</t>
  </si>
  <si>
    <t>AICreatedGroupCol</t>
  </si>
  <si>
    <t>AIUpdatedGroupCol</t>
  </si>
  <si>
    <t>Category</t>
  </si>
  <si>
    <t>Action Item</t>
  </si>
  <si>
    <t xml:space="preserve">Alt+F1 • </t>
  </si>
  <si>
    <t>Shift+F10 •</t>
  </si>
  <si>
    <r>
      <rPr>
        <b/>
        <sz val="10"/>
        <rFont val="Verdana"/>
        <family val="2"/>
      </rPr>
      <t>Right Click</t>
    </r>
    <r>
      <rPr>
        <sz val="10"/>
        <rFont val="Verdana"/>
        <family val="2"/>
      </rPr>
      <t xml:space="preserve"> Mouse Menu</t>
    </r>
  </si>
  <si>
    <t>Ctrl+Arrows •</t>
  </si>
  <si>
    <t>Arrows •</t>
  </si>
  <si>
    <t>Created</t>
  </si>
  <si>
    <t>6)</t>
  </si>
  <si>
    <r>
      <rPr>
        <b/>
        <sz val="10"/>
        <rFont val="Verdana"/>
        <family val="2"/>
      </rPr>
      <t xml:space="preserve">Browse </t>
    </r>
    <r>
      <rPr>
        <sz val="10"/>
        <rFont val="Verdana"/>
        <family val="2"/>
      </rPr>
      <t>Cells</t>
    </r>
  </si>
  <si>
    <t xml:space="preserve"> </t>
  </si>
  <si>
    <t>Past Due</t>
  </si>
  <si>
    <r>
      <rPr>
        <b/>
        <sz val="10"/>
        <rFont val="Verdana"/>
        <family val="2"/>
      </rPr>
      <t>Find</t>
    </r>
    <r>
      <rPr>
        <sz val="10"/>
        <rFont val="Verdana"/>
        <family val="2"/>
      </rPr>
      <t xml:space="preserve"> (Search)</t>
    </r>
  </si>
  <si>
    <t>Alt+Enter •</t>
  </si>
  <si>
    <r>
      <rPr>
        <b/>
        <sz val="10"/>
        <rFont val="Verdana"/>
        <family val="2"/>
      </rPr>
      <t>Next line</t>
    </r>
    <r>
      <rPr>
        <sz val="10"/>
        <rFont val="Verdana"/>
        <family val="2"/>
      </rPr>
      <t xml:space="preserve"> (within a cell)</t>
    </r>
  </si>
  <si>
    <t>Enter custom details about this AI List</t>
  </si>
  <si>
    <t>asdg</t>
  </si>
  <si>
    <r>
      <rPr>
        <b/>
        <sz val="10"/>
        <rFont val="Verdana"/>
        <family val="2"/>
      </rPr>
      <t xml:space="preserve">Jump </t>
    </r>
    <r>
      <rPr>
        <sz val="10"/>
        <rFont val="Verdana"/>
        <family val="2"/>
      </rPr>
      <t>Cells within Group</t>
    </r>
  </si>
  <si>
    <t>Ctrl+f •</t>
  </si>
  <si>
    <t>► Common Keyboard Shortcuts ◄</t>
  </si>
  <si>
    <t>Registration</t>
  </si>
  <si>
    <t>App/Version</t>
  </si>
  <si>
    <t>Email</t>
  </si>
  <si>
    <t>► Left Click</t>
  </si>
  <si>
    <t>► Right Click</t>
  </si>
  <si>
    <r>
      <rPr>
        <b/>
        <sz val="10"/>
        <rFont val="Verdana"/>
        <family val="2"/>
      </rPr>
      <t>• Cell</t>
    </r>
    <r>
      <rPr>
        <sz val="10"/>
        <rFont val="Verdana"/>
        <family val="2"/>
      </rPr>
      <t xml:space="preserve"> - Right click on any cell to close, move, delete, email row, etc…</t>
    </r>
  </si>
  <si>
    <r>
      <rPr>
        <b/>
        <sz val="10"/>
        <rFont val="Verdana"/>
        <family val="2"/>
      </rPr>
      <t>• Column Names</t>
    </r>
    <r>
      <rPr>
        <sz val="10"/>
        <rFont val="Verdana"/>
        <family val="2"/>
      </rPr>
      <t xml:space="preserve"> - Click on header column names to sort.</t>
    </r>
  </si>
  <si>
    <r>
      <rPr>
        <b/>
        <sz val="10"/>
        <rFont val="Verdana"/>
        <family val="2"/>
      </rPr>
      <t>• Header</t>
    </r>
    <r>
      <rPr>
        <sz val="10"/>
        <rFont val="Verdana"/>
        <family val="2"/>
      </rPr>
      <t xml:space="preserve"> - Right click on header column names to change column width, show, or hide.</t>
    </r>
  </si>
  <si>
    <r>
      <rPr>
        <b/>
        <sz val="10"/>
        <rFont val="Verdana"/>
        <family val="2"/>
      </rPr>
      <t>► Dbl. Click</t>
    </r>
    <r>
      <rPr>
        <b/>
        <sz val="10"/>
        <rFont val="Verdana"/>
        <family val="2"/>
      </rPr>
      <t/>
    </r>
  </si>
  <si>
    <r>
      <rPr>
        <b/>
        <sz val="10"/>
        <rFont val="Verdana"/>
        <family val="2"/>
      </rPr>
      <t>• Groups</t>
    </r>
    <r>
      <rPr>
        <sz val="10"/>
        <rFont val="Verdana"/>
        <family val="2"/>
      </rPr>
      <t xml:space="preserve"> - Double click on sorted group row names, to hide or show.</t>
    </r>
  </si>
  <si>
    <r>
      <rPr>
        <b/>
        <sz val="10"/>
        <rFont val="Verdana"/>
        <family val="2"/>
      </rPr>
      <t>• Due Date</t>
    </r>
    <r>
      <rPr>
        <sz val="10"/>
        <rFont val="Verdana"/>
        <family val="2"/>
      </rPr>
      <t xml:space="preserve"> - Double click on due date fields to pop up date selection calendar.</t>
    </r>
  </si>
  <si>
    <r>
      <rPr>
        <b/>
        <sz val="10"/>
        <rFont val="Verdana"/>
        <family val="2"/>
      </rPr>
      <t>• Check Box</t>
    </r>
    <r>
      <rPr>
        <sz val="10"/>
        <rFont val="Verdana"/>
        <family val="2"/>
      </rPr>
      <t xml:space="preserve"> - Double click on each row's checkbox (on left) to close or re-open row.</t>
    </r>
  </si>
  <si>
    <r>
      <rPr>
        <b/>
        <sz val="10"/>
        <rFont val="Verdana"/>
        <family val="2"/>
      </rPr>
      <t>Green Button</t>
    </r>
    <r>
      <rPr>
        <sz val="10"/>
        <rFont val="Verdana"/>
        <family val="2"/>
      </rPr>
      <t xml:space="preserve"> Top Menu</t>
    </r>
  </si>
  <si>
    <r>
      <rPr>
        <b/>
        <sz val="10"/>
        <rFont val="Verdana"/>
        <family val="2"/>
      </rPr>
      <t>• Green Button Top Menu</t>
    </r>
    <r>
      <rPr>
        <sz val="10"/>
        <rFont val="Verdana"/>
        <family val="2"/>
      </rPr>
      <t xml:space="preserve"> - Click for full screen mode, spell check, email integration, &amp; more…</t>
    </r>
  </si>
  <si>
    <t>Press When Using AI List:</t>
  </si>
  <si>
    <t>Navigation and Search:</t>
  </si>
  <si>
    <r>
      <t>Ctrl+Home</t>
    </r>
    <r>
      <rPr>
        <sz val="10"/>
        <rFont val="Verdana"/>
        <family val="2"/>
      </rPr>
      <t xml:space="preserve"> (End)</t>
    </r>
    <r>
      <rPr>
        <b/>
        <sz val="10"/>
        <rFont val="Verdana"/>
        <family val="2"/>
      </rPr>
      <t xml:space="preserve"> •</t>
    </r>
  </si>
  <si>
    <r>
      <t xml:space="preserve">Goto </t>
    </r>
    <r>
      <rPr>
        <b/>
        <sz val="10"/>
        <rFont val="Verdana"/>
        <family val="2"/>
      </rPr>
      <t>First</t>
    </r>
    <r>
      <rPr>
        <sz val="10"/>
        <rFont val="Verdana"/>
        <family val="2"/>
      </rPr>
      <t xml:space="preserve"> (Last) Row</t>
    </r>
  </si>
  <si>
    <r>
      <rPr>
        <b/>
        <sz val="10"/>
        <rFont val="Verdana"/>
        <family val="2"/>
      </rPr>
      <t>Undo</t>
    </r>
    <r>
      <rPr>
        <sz val="10"/>
        <rFont val="Verdana"/>
        <family val="2"/>
      </rPr>
      <t xml:space="preserve"> (Redo)</t>
    </r>
  </si>
  <si>
    <r>
      <t xml:space="preserve">Ctrl+z </t>
    </r>
    <r>
      <rPr>
        <sz val="10"/>
        <rFont val="Verdana"/>
        <family val="2"/>
      </rPr>
      <t>(y)</t>
    </r>
    <r>
      <rPr>
        <b/>
        <sz val="10"/>
        <rFont val="Verdana"/>
        <family val="2"/>
      </rPr>
      <t xml:space="preserve"> •</t>
    </r>
  </si>
  <si>
    <t>► Enable Macros HELP ◄</t>
  </si>
  <si>
    <r>
      <t xml:space="preserve">Click </t>
    </r>
    <r>
      <rPr>
        <b/>
        <i/>
        <sz val="10"/>
        <rFont val="Verdana"/>
        <family val="2"/>
      </rPr>
      <t>Trust Center Settings...</t>
    </r>
    <r>
      <rPr>
        <sz val="10"/>
        <rFont val="Verdana"/>
        <family val="2"/>
      </rPr>
      <t xml:space="preserve"> on the bottom right</t>
    </r>
  </si>
  <si>
    <r>
      <t xml:space="preserve">Click </t>
    </r>
    <r>
      <rPr>
        <b/>
        <i/>
        <sz val="10"/>
        <rFont val="Verdana"/>
        <family val="2"/>
      </rPr>
      <t>Trust Center</t>
    </r>
    <r>
      <rPr>
        <sz val="10"/>
        <rFont val="Verdana"/>
        <family val="2"/>
      </rPr>
      <t xml:space="preserve"> on the far left</t>
    </r>
  </si>
  <si>
    <r>
      <t xml:space="preserve">Click </t>
    </r>
    <r>
      <rPr>
        <b/>
        <i/>
        <sz val="10"/>
        <rFont val="Verdana"/>
        <family val="2"/>
      </rPr>
      <t>Macro Settings</t>
    </r>
    <r>
      <rPr>
        <sz val="10"/>
        <rFont val="Verdana"/>
        <family val="2"/>
      </rPr>
      <t xml:space="preserve"> on the far left</t>
    </r>
  </si>
  <si>
    <r>
      <t xml:space="preserve">To Enable Macros in </t>
    </r>
    <r>
      <rPr>
        <b/>
        <i/>
        <u/>
        <sz val="10"/>
        <color rgb="FFFF0000"/>
        <rFont val="Verdana"/>
        <family val="2"/>
      </rPr>
      <t>Excel 2003 or older</t>
    </r>
    <r>
      <rPr>
        <b/>
        <i/>
        <sz val="10"/>
        <color rgb="FFFF0000"/>
        <rFont val="Verdana"/>
        <family val="2"/>
      </rPr>
      <t xml:space="preserve"> follow these instructions:</t>
    </r>
  </si>
  <si>
    <r>
      <t xml:space="preserve">To Enable Macros in </t>
    </r>
    <r>
      <rPr>
        <b/>
        <i/>
        <u/>
        <sz val="10"/>
        <color rgb="FFFF0000"/>
        <rFont val="Verdana"/>
        <family val="2"/>
      </rPr>
      <t>Excel 2007 or newer</t>
    </r>
    <r>
      <rPr>
        <b/>
        <i/>
        <sz val="10"/>
        <color rgb="FFFF0000"/>
        <rFont val="Verdana"/>
        <family val="2"/>
      </rPr>
      <t xml:space="preserve"> follow these instructions:</t>
    </r>
  </si>
  <si>
    <r>
      <t xml:space="preserve">Click the </t>
    </r>
    <r>
      <rPr>
        <b/>
        <i/>
        <sz val="10"/>
        <rFont val="Verdana"/>
        <family val="2"/>
      </rPr>
      <t>Tools</t>
    </r>
    <r>
      <rPr>
        <i/>
        <sz val="10"/>
        <rFont val="Verdana"/>
        <family val="2"/>
      </rPr>
      <t xml:space="preserve"> drop down menu</t>
    </r>
    <r>
      <rPr>
        <sz val="10"/>
        <rFont val="Verdana"/>
        <family val="2"/>
      </rPr>
      <t/>
    </r>
  </si>
  <si>
    <r>
      <t xml:space="preserve">Click </t>
    </r>
    <r>
      <rPr>
        <b/>
        <i/>
        <sz val="10"/>
        <rFont val="Verdana"/>
        <family val="2"/>
      </rPr>
      <t>Macro</t>
    </r>
    <r>
      <rPr>
        <sz val="10"/>
        <rFont val="Verdana"/>
        <family val="2"/>
      </rPr>
      <t xml:space="preserve"> line</t>
    </r>
  </si>
  <si>
    <r>
      <t xml:space="preserve">Click </t>
    </r>
    <r>
      <rPr>
        <b/>
        <i/>
        <sz val="10"/>
        <rFont val="Verdana"/>
        <family val="2"/>
      </rPr>
      <t>Security...</t>
    </r>
    <r>
      <rPr>
        <sz val="10"/>
        <rFont val="Verdana"/>
        <family val="2"/>
      </rPr>
      <t xml:space="preserve"> line</t>
    </r>
  </si>
  <si>
    <r>
      <t xml:space="preserve">Click </t>
    </r>
    <r>
      <rPr>
        <b/>
        <i/>
        <sz val="10"/>
        <rFont val="Verdana"/>
        <family val="2"/>
      </rPr>
      <t>Excel Options</t>
    </r>
    <r>
      <rPr>
        <sz val="10"/>
        <rFont val="Verdana"/>
        <family val="2"/>
      </rPr>
      <t xml:space="preserve"> button on the very bottom</t>
    </r>
  </si>
  <si>
    <r>
      <t xml:space="preserve">Select the </t>
    </r>
    <r>
      <rPr>
        <b/>
        <i/>
        <sz val="10"/>
        <rFont val="Verdana"/>
        <family val="2"/>
      </rPr>
      <t>Enable all macros</t>
    </r>
    <r>
      <rPr>
        <sz val="10"/>
        <rFont val="Verdana"/>
        <family val="2"/>
      </rPr>
      <t xml:space="preserve"> option to never need these steps again (the most popular choice)</t>
    </r>
  </si>
  <si>
    <r>
      <t xml:space="preserve">Select </t>
    </r>
    <r>
      <rPr>
        <b/>
        <i/>
        <sz val="10"/>
        <rFont val="Verdana"/>
        <family val="2"/>
      </rPr>
      <t>Low</t>
    </r>
    <r>
      <rPr>
        <sz val="10"/>
        <rFont val="Verdana"/>
        <family val="2"/>
      </rPr>
      <t xml:space="preserve"> on the Security Level tab to never need these steps again (the most popular choice)</t>
    </r>
  </si>
  <si>
    <r>
      <t xml:space="preserve">◄AUTOMATION DISABLED►  </t>
    </r>
    <r>
      <rPr>
        <sz val="10"/>
        <color rgb="FFFF0000"/>
        <rFont val="Verdana"/>
        <family val="2"/>
      </rPr>
      <t xml:space="preserve">You must </t>
    </r>
    <r>
      <rPr>
        <i/>
        <sz val="10"/>
        <color rgb="FFFF0000"/>
        <rFont val="Verdana"/>
        <family val="2"/>
      </rPr>
      <t>“Enable Macros”</t>
    </r>
    <r>
      <rPr>
        <sz val="10"/>
        <color rgb="FFFF0000"/>
        <rFont val="Verdana"/>
        <family val="2"/>
      </rPr>
      <t xml:space="preserve"> for this automated file to function.  In some cases, you may be prompted to enable macros while opening this file, or along the top of this opened excel sheet.  Refer to the </t>
    </r>
    <r>
      <rPr>
        <i/>
        <sz val="10"/>
        <color rgb="FFFF0000"/>
        <rFont val="Verdana"/>
        <family val="2"/>
      </rPr>
      <t>'More Help'</t>
    </r>
    <r>
      <rPr>
        <sz val="10"/>
        <color rgb="FFFF0000"/>
        <rFont val="Verdana"/>
        <family val="2"/>
      </rPr>
      <t xml:space="preserve"> section within the excel sheet labeled &gt; HELP</t>
    </r>
    <r>
      <rPr>
        <sz val="10"/>
        <color theme="0" tint="-4.9989318521683403E-2"/>
        <rFont val="Verdana"/>
        <family val="2"/>
      </rPr>
      <t xml:space="preserve"> </t>
    </r>
    <r>
      <rPr>
        <sz val="10"/>
        <color rgb="FFFF0000"/>
        <rFont val="Verdana"/>
        <family val="2"/>
      </rPr>
      <t>&lt; for detailed instructions on how to permanently enable macros, and avoid this issue.</t>
    </r>
  </si>
  <si>
    <r>
      <t>Basic User Tips</t>
    </r>
    <r>
      <rPr>
        <b/>
        <i/>
        <sz val="10"/>
        <color rgb="FFFF0000"/>
        <rFont val="Verdana"/>
        <family val="2"/>
      </rPr>
      <t>:</t>
    </r>
  </si>
  <si>
    <t>More User Tips:</t>
  </si>
  <si>
    <t>► User Tips ◄</t>
  </si>
  <si>
    <t>Low</t>
  </si>
  <si>
    <t>&lt;Enter any value&gt;</t>
  </si>
  <si>
    <r>
      <t xml:space="preserve">◄GRAPHICAL NOTICE►  </t>
    </r>
    <r>
      <rPr>
        <sz val="10"/>
        <color rgb="FFFF0000"/>
        <rFont val="Verdana"/>
        <family val="2"/>
      </rPr>
      <t xml:space="preserve">Our periodic auto-check discovered that some graphical features have been removed from this file by an older version of Excel.  To restore these features, open an Excel 2007 version file in Excel 2007 and use </t>
    </r>
    <r>
      <rPr>
        <i/>
        <sz val="10"/>
        <color rgb="FFFF0000"/>
        <rFont val="Verdana"/>
        <family val="2"/>
      </rPr>
      <t>'Import AI List'</t>
    </r>
    <r>
      <rPr>
        <sz val="10"/>
        <color rgb="FFFF0000"/>
        <rFont val="Verdana"/>
        <family val="2"/>
      </rPr>
      <t xml:space="preserve"> to bring over this file's data to the Excel 2007 version.</t>
    </r>
  </si>
  <si>
    <r>
      <t xml:space="preserve">RESTRICTED PERFORMANCE:  </t>
    </r>
    <r>
      <rPr>
        <sz val="10"/>
        <color theme="3"/>
        <rFont val="Verdana"/>
        <family val="2"/>
      </rPr>
      <t xml:space="preserve">Our periodic auto-check discovered that this version of the AI List file was optimized for Excel 2003 and older.  If you do not need Excel 2003 users to be in this file, ask the original file user for the “Excel 2007 or newer” version, then use its </t>
    </r>
    <r>
      <rPr>
        <i/>
        <sz val="10"/>
        <color theme="3"/>
        <rFont val="Verdana"/>
        <family val="2"/>
      </rPr>
      <t>'Import AI List'</t>
    </r>
    <r>
      <rPr>
        <sz val="10"/>
        <color theme="3"/>
        <rFont val="Verdana"/>
        <family val="2"/>
      </rPr>
      <t xml:space="preserve"> feature.</t>
    </r>
  </si>
  <si>
    <r>
      <t xml:space="preserve">◄EXCEL 2003 FILE NEEDED►  </t>
    </r>
    <r>
      <rPr>
        <sz val="10"/>
        <color rgb="FFFF0000"/>
        <rFont val="Verdana"/>
        <family val="2"/>
      </rPr>
      <t xml:space="preserve">This version of the AI List file was optimized for newer Excel, and possibly broken when not properly converted to Excel 2003.  Ask the original file user to SaveAs the original file to an Excel 2003 </t>
    </r>
    <r>
      <rPr>
        <i/>
        <sz val="10"/>
        <color rgb="FFFF0000"/>
        <rFont val="Verdana"/>
        <family val="2"/>
      </rPr>
      <t>‘.xls’</t>
    </r>
    <r>
      <rPr>
        <sz val="10"/>
        <color rgb="FFFF0000"/>
        <rFont val="Verdana"/>
        <family val="2"/>
      </rPr>
      <t xml:space="preserve"> (not ‘.xlsm’) file, from their Excel 2007 or newer application, before it is used in Excel 2003.</t>
    </r>
  </si>
  <si>
    <r>
      <t xml:space="preserve">◄BROKEN BY EXCEL 2003►  </t>
    </r>
    <r>
      <rPr>
        <sz val="10"/>
        <color rgb="FFFF0000"/>
        <rFont val="Verdana"/>
        <family val="2"/>
      </rPr>
      <t xml:space="preserve">This version of the AI List file was incorrectly converted by Excel 2003.  This can be corrected by asking the original file user to SaveAs the original file to an Excel 2003 </t>
    </r>
    <r>
      <rPr>
        <i/>
        <sz val="10"/>
        <color rgb="FFFF0000"/>
        <rFont val="Verdana"/>
        <family val="2"/>
      </rPr>
      <t>‘.xls’</t>
    </r>
    <r>
      <rPr>
        <sz val="10"/>
        <color rgb="FFFF0000"/>
        <rFont val="Verdana"/>
        <family val="2"/>
      </rPr>
      <t xml:space="preserve"> (not ‘.xlsm’) file, from their Excel 2007 or newer application.</t>
    </r>
  </si>
  <si>
    <t>Prohibition on Reverse Engineering, Decompilation, and Disassembly:  You may not reverse engineer, decompile, mimic, create derivative works, remove or crack passwords, or disassemble the file, including its sheets, formulas, formatting, and automated controls programming or VBA code.</t>
  </si>
  <si>
    <t>www.ExcelAutomationHelp.com</t>
  </si>
  <si>
    <t>Help@ExcelAutomationHelp.com</t>
  </si>
  <si>
    <r>
      <t xml:space="preserve">You may </t>
    </r>
    <r>
      <rPr>
        <b/>
        <i/>
        <sz val="11"/>
        <color theme="1"/>
        <rFont val="Calibri"/>
        <family val="2"/>
        <scheme val="minor"/>
      </rPr>
      <t>create</t>
    </r>
    <r>
      <rPr>
        <i/>
        <sz val="11"/>
        <color theme="1"/>
        <rFont val="Calibri"/>
        <family val="2"/>
        <scheme val="minor"/>
      </rPr>
      <t xml:space="preserve"> additional sheets or </t>
    </r>
    <r>
      <rPr>
        <b/>
        <i/>
        <sz val="11"/>
        <color theme="1"/>
        <rFont val="Calibri"/>
        <family val="2"/>
        <scheme val="minor"/>
      </rPr>
      <t>copy in</t>
    </r>
    <r>
      <rPr>
        <i/>
        <sz val="11"/>
        <color theme="1"/>
        <rFont val="Calibri"/>
        <family val="2"/>
        <scheme val="minor"/>
      </rPr>
      <t xml:space="preserve"> sheets from other files.  You may not copy or move the original AI List included sheets to other files.</t>
    </r>
  </si>
  <si>
    <t>www.JTFAutomation.com</t>
  </si>
  <si>
    <t>Help@JTFAutomation.com</t>
  </si>
  <si>
    <t>+1 832-800-4JTF     (4583)</t>
  </si>
  <si>
    <t>Modification and Termination:  Without notice the Company may modify these terms, and may choose to terminate usage of the file by any or all other parties.  In such event, you must destroy all copies of the file in your possession.</t>
  </si>
  <si>
    <t>Copyright:  All title, including but not limited to copyrights, in and to the file and any copies thereof are owned by the Company.  All rights reserved.</t>
  </si>
  <si>
    <t>Terms of Usage:  All copies of this file must be immediately and permanently destroyed, and the Company informed, if you do not agree to all of these terms and conditions.  By storing, distributing, copying, or otherwise using the file, you agree to be bound by these terms of usage.  These terms represents the entire agreement concerning this program between you and the Company, and it supersedes any other proposal, representation, or understanding between all parties.</t>
  </si>
  <si>
    <t>Distribution:  You may distribute copies of the file to third parties so long as creation and ownership of this product is not implied as by anyone other than the Company, no money is exchanged directly or indirectly from it's distribution or usage, no portion of the file is removed or hidden or modified, and ALL of it's terms of usage are honored by all parties.</t>
  </si>
  <si>
    <t>Rental:  You may not rent, lease, or exchange money for this file, or any derivative of it.</t>
  </si>
  <si>
    <t>Compliance with Applicable Laws:  You must comply with all applicable laws regarding use, storage, or distribution of this file.</t>
  </si>
  <si>
    <t>No Warranties:  The Company expressly disclaims any warranty for the file. The file is provided 'As Is' without any express or implied warranty of any kind, including but not limited to any warranties of merchantability, noninfringement, or fitness of a particular purpose.  The Company does not warrant or assume responsibility for the accuracy or completeness of any information, text, graphics, links or other items contained within the file.  The Company makes no warranties respecting any harm that may be caused by the use or transmission of this file.  The Company further expressly disclaims any warranty or representation to users or to any third party.</t>
  </si>
  <si>
    <t>Limitation of Liability:  In no event shall the Company be liable for any damages (including, without limitation, lost profits, business interruption, or lost information) rising out of any use of or inability to use the file, even if the Company has been advised of the possibility of such damages.  In no event will the Company be liable for loss of data or for indirect, special, incidental, consequential (including lost profit), or other damages based in contract, tort or otherwise.  The Company shall have no liability with respect to the content of the file or any part thereof, including but not limited to errors or omissions contained therein, libel, infringements of rights of publicity, privacy, trademark rights, business interruption, personal injury, loss of privacy, moral rights or the disclosure of confidential information done by any parties.</t>
  </si>
  <si>
    <r>
      <t xml:space="preserve">Terms and Conditions of Access and Usage of This File:                                   </t>
    </r>
    <r>
      <rPr>
        <sz val="10"/>
        <color theme="1"/>
        <rFont val="Verdana"/>
        <family val="2"/>
      </rPr>
      <t>(End User License Agreement)</t>
    </r>
  </si>
  <si>
    <t>You:  All of these terms and conditions of access and usage apply to all users, viewers, keepers, copiers, receivers, and distributors of this file.  (hereafter defined as 'you')</t>
  </si>
  <si>
    <t>Maintenance of Copyright Notices and Logo:  You must not remove, hide, or alter any copyright notices, logos, sheets, or the Company identification on any and all copies of this file.  Only the Company's authorized and certified users may do so.  The Company reserves the right to revoke any previously given authorization, at any time.</t>
  </si>
  <si>
    <r>
      <t xml:space="preserve">Click the round </t>
    </r>
    <r>
      <rPr>
        <b/>
        <i/>
        <sz val="10"/>
        <rFont val="Verdana"/>
        <family val="2"/>
      </rPr>
      <t>Office</t>
    </r>
    <r>
      <rPr>
        <sz val="10"/>
        <rFont val="Verdana"/>
        <family val="2"/>
      </rPr>
      <t xml:space="preserve"> menu button or the </t>
    </r>
    <r>
      <rPr>
        <b/>
        <i/>
        <sz val="10"/>
        <rFont val="Verdana"/>
        <family val="2"/>
      </rPr>
      <t>File</t>
    </r>
    <r>
      <rPr>
        <sz val="10"/>
        <rFont val="Verdana"/>
        <family val="2"/>
      </rPr>
      <t xml:space="preserve"> tab in the far top left corner of Excel</t>
    </r>
  </si>
  <si>
    <t>+1 315-805-HELP     (4357)</t>
  </si>
  <si>
    <t>► AI List (Action Item List) HELP ◄</t>
  </si>
  <si>
    <t xml:space="preserve">End User Confirmation:  End user to confirm all materials provided/used within this file are free use materials or methods, and they accept all liability for their usage. (including copyright, licensing, confidentiality, etc)  End user to confirm final accuracy/functionality of the full file. (only basic limited iterative testing was included) </t>
  </si>
  <si>
    <t>Filter</t>
  </si>
  <si>
    <t>Hide These Values (Exclusions) (&lt;&gt; all)</t>
  </si>
  <si>
    <t>Show Only These Values (= all)</t>
  </si>
  <si>
    <t>Data Validation default lists (highlighted indicates default items which remain when rebuilding drop downs)</t>
  </si>
  <si>
    <t>7)</t>
  </si>
  <si>
    <t>8)</t>
  </si>
  <si>
    <t>9)</t>
  </si>
  <si>
    <t>10)</t>
  </si>
  <si>
    <t>► Custom Excel Automation Help ◄</t>
  </si>
  <si>
    <r>
      <rPr>
        <b/>
        <sz val="10"/>
        <rFont val="Verdana"/>
        <family val="2"/>
      </rPr>
      <t>Sort by Column Header Names:</t>
    </r>
    <r>
      <rPr>
        <sz val="10"/>
        <rFont val="Verdana"/>
        <family val="2"/>
      </rPr>
      <t xml:space="preserve">  Click "AI#", "Category", "Priority", or any other column header name to automatically sort and group by that field</t>
    </r>
  </si>
  <si>
    <r>
      <rPr>
        <b/>
        <sz val="10"/>
        <rFont val="Verdana"/>
        <family val="2"/>
      </rPr>
      <t xml:space="preserve">Close Check Box:  </t>
    </r>
    <r>
      <rPr>
        <sz val="10"/>
        <rFont val="Verdana"/>
        <family val="2"/>
      </rPr>
      <t>Double click the empty check box (small square) on the far left of each row, to close the row</t>
    </r>
  </si>
  <si>
    <r>
      <rPr>
        <b/>
        <sz val="10"/>
        <rFont val="Verdana"/>
        <family val="2"/>
      </rPr>
      <t xml:space="preserve">Green Button:  </t>
    </r>
    <r>
      <rPr>
        <sz val="10"/>
        <rFont val="Verdana"/>
        <family val="2"/>
      </rPr>
      <t>Click it (at the very top left of the window) to access more features and options</t>
    </r>
  </si>
  <si>
    <r>
      <rPr>
        <b/>
        <sz val="10"/>
        <rFont val="Verdana"/>
        <family val="2"/>
      </rPr>
      <t xml:space="preserve">Automatically Add New Rows:  </t>
    </r>
    <r>
      <rPr>
        <sz val="10"/>
        <rFont val="Verdana"/>
        <family val="2"/>
      </rPr>
      <t>Type into the last blank row in the top 'New' group, and another new blank row will automatically be added for you</t>
    </r>
  </si>
  <si>
    <r>
      <rPr>
        <b/>
        <sz val="10"/>
        <rFont val="Verdana"/>
        <family val="2"/>
      </rPr>
      <t xml:space="preserve">Group Closed Items:  </t>
    </r>
    <r>
      <rPr>
        <sz val="10"/>
        <rFont val="Verdana"/>
        <family val="2"/>
      </rPr>
      <t>Click a column header name to sort by it, and all the closed items will automatically group at the bottom of the list</t>
    </r>
  </si>
  <si>
    <r>
      <rPr>
        <b/>
        <sz val="10"/>
        <rFont val="Verdana"/>
        <family val="2"/>
      </rPr>
      <t xml:space="preserve">Double Click "Due" for Calendar:  </t>
    </r>
    <r>
      <rPr>
        <sz val="10"/>
        <rFont val="Verdana"/>
        <family val="2"/>
      </rPr>
      <t>Double click a row's "Due" column cell, to open the popup calendar and pick a specific due date to assign</t>
    </r>
  </si>
  <si>
    <r>
      <rPr>
        <b/>
        <sz val="10"/>
        <rFont val="Verdana"/>
        <family val="2"/>
      </rPr>
      <t xml:space="preserve">Home (&amp; Other) Top Tabs:  </t>
    </r>
    <r>
      <rPr>
        <sz val="10"/>
        <rFont val="Verdana"/>
        <family val="2"/>
      </rPr>
      <t>Find along the top of the window, and use to gain screen space and see other useful information (like a full year calendar)</t>
    </r>
  </si>
  <si>
    <r>
      <rPr>
        <b/>
        <sz val="10"/>
        <rFont val="Verdana"/>
        <family val="2"/>
      </rPr>
      <t xml:space="preserve">Right Click Cells &amp; Headers:  </t>
    </r>
    <r>
      <rPr>
        <sz val="10"/>
        <rFont val="Verdana"/>
        <family val="2"/>
      </rPr>
      <t>Right click cells to show or hide rows based on values, or right click column header names to  show or hide full columns</t>
    </r>
  </si>
  <si>
    <r>
      <rPr>
        <b/>
        <sz val="10"/>
        <rFont val="Verdana"/>
        <family val="2"/>
      </rPr>
      <t xml:space="preserve">Double Click Gray Group:  </t>
    </r>
    <r>
      <rPr>
        <sz val="10"/>
        <rFont val="Verdana"/>
        <family val="2"/>
      </rPr>
      <t>Double click any gray group name to collapse or expand group rows (e.g. "More User Tips" group above AI # 7)</t>
    </r>
  </si>
  <si>
    <t>AI#:</t>
  </si>
  <si>
    <t>Category:</t>
  </si>
  <si>
    <t>Subject:</t>
  </si>
  <si>
    <t>Action:</t>
  </si>
  <si>
    <t>Person:</t>
  </si>
  <si>
    <t>Due:</t>
  </si>
  <si>
    <t>Status:</t>
  </si>
  <si>
    <t>Comment:</t>
  </si>
  <si>
    <t>Close with 'X':</t>
  </si>
  <si>
    <t>Subcategory:</t>
  </si>
  <si>
    <t>Priority:</t>
  </si>
  <si>
    <r>
      <rPr>
        <b/>
        <sz val="10"/>
        <rFont val="Verdana"/>
        <family val="2"/>
      </rPr>
      <t xml:space="preserve">"Import Data" to Pull In Old List, or "Reset AI List" to Start Fresh:  </t>
    </r>
    <r>
      <rPr>
        <sz val="10"/>
        <rFont val="Verdana"/>
        <family val="2"/>
      </rPr>
      <t>Find them within the Green Button Top Menu, to continue using data from an older AI List file, or to clear this file</t>
    </r>
  </si>
  <si>
    <t>A</t>
  </si>
  <si>
    <t>Updated</t>
  </si>
  <si>
    <t>Comment</t>
  </si>
  <si>
    <t>For help using this spreadsheet, making functional changes or additions, or our assistance in creating your own custom excel automated solution, please contact our team at any of the below</t>
  </si>
  <si>
    <t>Cancel</t>
  </si>
  <si>
    <t>Hold</t>
  </si>
  <si>
    <t>Review</t>
  </si>
  <si>
    <t>100% Complete</t>
  </si>
  <si>
    <t>75% Complete</t>
  </si>
  <si>
    <t>50% Complete</t>
  </si>
  <si>
    <t>25% Complete</t>
  </si>
  <si>
    <t>Hidden</t>
  </si>
  <si>
    <t>Due</t>
  </si>
  <si>
    <t>Done</t>
  </si>
  <si>
    <t>AI#</t>
  </si>
  <si>
    <t>Person</t>
  </si>
  <si>
    <t>Basic User Tips</t>
  </si>
  <si>
    <t>Sort by Column Header Names</t>
  </si>
  <si>
    <t>Click "AI#", "Category", "Priority", or any other column header name to automatically sort and group by that field</t>
  </si>
  <si>
    <t>5/29/2012-12:40:00 AM-11111</t>
  </si>
  <si>
    <t>Close Check Box</t>
  </si>
  <si>
    <t>Double click the empty check box (small square) on the far left of each row, to close the row</t>
  </si>
  <si>
    <t>5/29/2012-12:40:00 AM-11112</t>
  </si>
  <si>
    <t>Green Button</t>
  </si>
  <si>
    <t>Click it (at the very top left of the window) to access more features and options</t>
  </si>
  <si>
    <t>5/29/2012-12:40:00 AM-11113</t>
  </si>
  <si>
    <t>T:\AI List\AI List v4.11  ◄ ...web to warn 8-25-2014 exp 10-6-2014\AI List - EXCEL TEMPLATE v4.10j-test.xlsm</t>
  </si>
  <si>
    <t>5/29/2012-12:40:00 AM-11114</t>
  </si>
  <si>
    <t>T:\AI List\AI List v3.63 (...Limited Release Beta)\AI List - BLANK TEMPLATE v3.62a.xlsm</t>
  </si>
  <si>
    <t>Automatically Add New Rows</t>
  </si>
  <si>
    <t>Type into the last blank row in the top 'New' group, and another new blank row will automatically be added for you</t>
  </si>
  <si>
    <t>5/29/2012-12:40:00 AM-11115</t>
  </si>
  <si>
    <t>More User Tips</t>
  </si>
  <si>
    <t>Double Click "Due" for Calendar</t>
  </si>
  <si>
    <t>Double click a row's "Due" column cell, to open the popup calendar and pick a specific due date to assign</t>
  </si>
  <si>
    <t>5/29/2012-12:40:00 AM-11117</t>
  </si>
  <si>
    <t>Home (&amp; Other) Top Tabs</t>
  </si>
  <si>
    <t>Find along the top of the window, and use to gain screen space and see other useful information (like a full year calendar)</t>
  </si>
  <si>
    <t>5/29/2012-12:40:00 AM-11118</t>
  </si>
  <si>
    <t>Right Click Cells &amp; Headers</t>
  </si>
  <si>
    <t>Right click cells to show or hide rows based on values, or right click column header names to  show or hide full columns</t>
  </si>
  <si>
    <t>5/29/2012-12:40:00 AM-11119</t>
  </si>
  <si>
    <t>Double Click Gray Group</t>
  </si>
  <si>
    <t>Double click any gray group name to collapse or expand group rows (e.g. "More User Tips" group above AI # 7)</t>
  </si>
  <si>
    <t>5/29/2012-12:40:00 AM-11110</t>
  </si>
  <si>
    <t>Group Closed Items</t>
  </si>
  <si>
    <t>Click a column header name to sort by it, and all the closed items will automatically group at the bottom of the list</t>
  </si>
  <si>
    <t>5/29/2012-12:40:00 AM-11116</t>
  </si>
  <si>
    <t>Subject</t>
  </si>
  <si>
    <t>Category ▾</t>
  </si>
  <si>
    <t>◢ More User Tips</t>
  </si>
  <si>
    <t>◢ Basic User Tips</t>
  </si>
  <si>
    <t>Late</t>
  </si>
  <si>
    <r>
      <t>"</t>
    </r>
    <r>
      <rPr>
        <b/>
        <sz val="11"/>
        <color theme="1"/>
        <rFont val="Calibri"/>
        <family val="2"/>
        <scheme val="minor"/>
      </rPr>
      <t>Import Data</t>
    </r>
    <r>
      <rPr>
        <sz val="11"/>
        <color theme="1"/>
        <rFont val="Calibri"/>
        <family val="2"/>
        <scheme val="minor"/>
      </rPr>
      <t>" to Pull In Old List, or "Reset AI List" to Start Fresh</t>
    </r>
  </si>
  <si>
    <t>T:\AI List\AI List v5.11 ◄WIP to Warn 2015, 8, 18      Exp 2015, 10, 1\AI List - EXCEL TEMPLATE v5.11.xlsm</t>
  </si>
  <si>
    <r>
      <t xml:space="preserve">Find them in the Green Button Top Menu, to continue using your data </t>
    </r>
    <r>
      <rPr>
        <b/>
        <sz val="11"/>
        <color theme="1"/>
        <rFont val="Calibri"/>
        <family val="2"/>
        <scheme val="minor"/>
      </rPr>
      <t>from an older AI List file</t>
    </r>
    <r>
      <rPr>
        <sz val="11"/>
        <color theme="1"/>
        <rFont val="Calibri"/>
        <family val="2"/>
        <scheme val="minor"/>
      </rPr>
      <t>, or to clear the 'User Tips' in this file</t>
    </r>
  </si>
  <si>
    <r>
      <t xml:space="preserve">Interested in customizing this AI List, or automating your other Excel files?
</t>
    </r>
    <r>
      <rPr>
        <i/>
        <sz val="10"/>
        <color theme="3"/>
        <rFont val="Verdana"/>
        <family val="2"/>
      </rPr>
      <t>Excel Automation Help</t>
    </r>
    <r>
      <rPr>
        <sz val="10"/>
        <color theme="3"/>
        <rFont val="Verdana"/>
        <family val="2"/>
      </rPr>
      <t xml:space="preserve"> specializes in custom software automation within Excel.  Contact us at:
</t>
    </r>
    <r>
      <rPr>
        <b/>
        <sz val="10"/>
        <color theme="3"/>
        <rFont val="Verdana"/>
        <family val="2"/>
      </rPr>
      <t xml:space="preserve">                                                              
www.ExcelAutomationHelp.com  | +1 315-805-HELP  |  Help@ExcelAutomationHelp.com</t>
    </r>
  </si>
</sst>
</file>

<file path=xl/styles.xml><?xml version="1.0" encoding="utf-8"?>
<styleSheet xmlns="http://schemas.openxmlformats.org/spreadsheetml/2006/main">
  <numFmts count="18">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yyyy"/>
    <numFmt numFmtId="165" formatCode="d"/>
    <numFmt numFmtId="166" formatCode="m/d/yyyy\ \ h:mm:ss\ AM/PM"/>
    <numFmt numFmtId="167" formatCode="m/d/yyyy\ \ h:mm\ AM/PM"/>
    <numFmt numFmtId="168" formatCode="ddd\ m/d/yy;@"/>
    <numFmt numFmtId="169" formatCode="m/d/yy;@"/>
    <numFmt numFmtId="170" formatCode="&quot;$&quot;#,##0.00"/>
    <numFmt numFmtId="171" formatCode="&quot;$&quot;#,##0"/>
    <numFmt numFmtId="172" formatCode="0.000"/>
    <numFmt numFmtId="173" formatCode="0.0%"/>
    <numFmt numFmtId="174" formatCode="ddd\ m/d/yyyy"/>
    <numFmt numFmtId="175" formatCode="_-* #,##0.00\ _D_M_-;\-* #,##0.00\ _D_M_-;_-* &quot;-&quot;??\ _D_M_-;_-@_-"/>
    <numFmt numFmtId="176" formatCode="_-* #,##0.00\ &quot;DM&quot;_-;\-* #,##0.00\ &quot;DM&quot;_-;_-* &quot;-&quot;??\ &quot;DM&quot;_-;_-@_-"/>
    <numFmt numFmtId="177" formatCode="_-&quot;$&quot;* #,##0_-;\-&quot;$&quot;* #,##0_-;_-&quot;$&quot;* &quot;-&quot;_-;_-@_-"/>
  </numFmts>
  <fonts count="12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8"/>
      <color theme="0"/>
      <name val="Verdana"/>
      <family val="2"/>
    </font>
    <font>
      <b/>
      <sz val="12"/>
      <color theme="1"/>
      <name val="Verdana"/>
      <family val="2"/>
    </font>
    <font>
      <sz val="11"/>
      <color theme="1"/>
      <name val="Humnst777 BT"/>
      <family val="2"/>
    </font>
    <font>
      <sz val="10"/>
      <name val="Geneva"/>
    </font>
    <font>
      <u/>
      <sz val="10"/>
      <color indexed="12"/>
      <name val="Geneva"/>
    </font>
    <font>
      <b/>
      <sz val="10"/>
      <color theme="3"/>
      <name val="Verdana"/>
      <family val="2"/>
    </font>
    <font>
      <sz val="11"/>
      <color theme="3"/>
      <name val="Miriam"/>
      <family val="2"/>
      <charset val="177"/>
    </font>
    <font>
      <b/>
      <sz val="12"/>
      <color theme="3"/>
      <name val="Verdana"/>
      <family val="2"/>
    </font>
    <font>
      <sz val="11"/>
      <color theme="3"/>
      <name val="Calibri"/>
      <family val="2"/>
      <scheme val="minor"/>
    </font>
    <font>
      <b/>
      <i/>
      <sz val="11"/>
      <color theme="1"/>
      <name val="Calibri"/>
      <family val="2"/>
      <scheme val="minor"/>
    </font>
    <font>
      <sz val="10"/>
      <color theme="3"/>
      <name val="Verdana"/>
      <family val="2"/>
    </font>
    <font>
      <sz val="10"/>
      <name val="Verdana"/>
      <family val="2"/>
    </font>
    <font>
      <b/>
      <i/>
      <sz val="10"/>
      <color rgb="FFFF0000"/>
      <name val="Verdana"/>
      <family val="2"/>
    </font>
    <font>
      <b/>
      <sz val="10"/>
      <name val="Verdana"/>
      <family val="2"/>
    </font>
    <font>
      <sz val="10"/>
      <color theme="1"/>
      <name val="Verdana"/>
      <family val="2"/>
    </font>
    <font>
      <b/>
      <sz val="10"/>
      <color rgb="FFFF0000"/>
      <name val="Verdana"/>
      <family val="2"/>
    </font>
    <font>
      <u/>
      <sz val="10"/>
      <color indexed="12"/>
      <name val="Verdana"/>
      <family val="2"/>
    </font>
    <font>
      <sz val="10"/>
      <color rgb="FFFF0000"/>
      <name val="Verdana"/>
      <family val="2"/>
    </font>
    <font>
      <b/>
      <i/>
      <sz val="10"/>
      <name val="Verdana"/>
      <family val="2"/>
    </font>
    <font>
      <sz val="11"/>
      <color theme="0" tint="-4.9989318521683403E-2"/>
      <name val="Calibri"/>
      <family val="2"/>
      <scheme val="minor"/>
    </font>
    <font>
      <i/>
      <sz val="10"/>
      <color theme="1" tint="0.499984740745262"/>
      <name val="Verdana"/>
      <family val="2"/>
    </font>
    <font>
      <sz val="10"/>
      <color theme="1"/>
      <name val="Miriam"/>
      <family val="2"/>
      <charset val="177"/>
    </font>
    <font>
      <b/>
      <sz val="10"/>
      <color theme="0"/>
      <name val="Miriam"/>
      <family val="2"/>
      <charset val="177"/>
    </font>
    <font>
      <sz val="10"/>
      <name val="Miriam"/>
      <family val="2"/>
      <charset val="177"/>
    </font>
    <font>
      <b/>
      <sz val="8"/>
      <name val="Miriam"/>
      <family val="2"/>
      <charset val="177"/>
    </font>
    <font>
      <b/>
      <sz val="8"/>
      <color theme="1"/>
      <name val="Miriam"/>
      <family val="2"/>
      <charset val="177"/>
    </font>
    <font>
      <sz val="10"/>
      <color theme="1" tint="0.499984740745262"/>
      <name val="Miriam"/>
      <family val="2"/>
      <charset val="177"/>
    </font>
    <font>
      <b/>
      <sz val="9"/>
      <color indexed="9"/>
      <name val="Verdana"/>
      <family val="2"/>
    </font>
    <font>
      <sz val="10"/>
      <color theme="3"/>
      <name val="Miriam"/>
      <family val="2"/>
      <charset val="177"/>
    </font>
    <font>
      <b/>
      <sz val="7"/>
      <color theme="3"/>
      <name val="Verdana"/>
      <family val="2"/>
    </font>
    <font>
      <b/>
      <sz val="14"/>
      <color theme="0"/>
      <name val="Verdana"/>
      <family val="2"/>
    </font>
    <font>
      <b/>
      <sz val="13"/>
      <color theme="0"/>
      <name val="Verdana"/>
      <family val="2"/>
    </font>
    <font>
      <sz val="11"/>
      <color theme="0"/>
      <name val="Verdana"/>
      <family val="2"/>
    </font>
    <font>
      <i/>
      <sz val="10"/>
      <color theme="0" tint="-0.34998626667073579"/>
      <name val="Verdana"/>
      <family val="2"/>
    </font>
    <font>
      <b/>
      <sz val="10"/>
      <color rgb="FF0000FF"/>
      <name val="Verdana"/>
      <family val="2"/>
    </font>
    <font>
      <sz val="10"/>
      <name val="Arial"/>
      <family val="2"/>
    </font>
    <font>
      <u/>
      <sz val="10"/>
      <color theme="10"/>
      <name val="Arial"/>
      <family val="2"/>
    </font>
    <font>
      <sz val="10"/>
      <color theme="0" tint="-4.9989318521683403E-2"/>
      <name val="Verdana"/>
      <family val="2"/>
    </font>
    <font>
      <i/>
      <sz val="11"/>
      <color theme="1"/>
      <name val="Calibri"/>
      <family val="2"/>
      <scheme val="minor"/>
    </font>
    <font>
      <i/>
      <sz val="10"/>
      <name val="Verdana"/>
      <family val="2"/>
    </font>
    <font>
      <b/>
      <i/>
      <u/>
      <sz val="10"/>
      <color rgb="FFFF0000"/>
      <name val="Verdana"/>
      <family val="2"/>
    </font>
    <font>
      <b/>
      <sz val="11"/>
      <color rgb="FFFF0000"/>
      <name val="Calibri"/>
      <family val="2"/>
      <scheme val="minor"/>
    </font>
    <font>
      <sz val="8"/>
      <color theme="1" tint="0.499984740745262"/>
      <name val="Verdana"/>
      <family val="2"/>
    </font>
    <font>
      <i/>
      <sz val="11"/>
      <color theme="1" tint="0.499984740745262"/>
      <name val="Calibri"/>
      <family val="2"/>
      <scheme val="minor"/>
    </font>
    <font>
      <i/>
      <sz val="10"/>
      <color rgb="FFFF0000"/>
      <name val="Verdana"/>
      <family val="2"/>
    </font>
    <font>
      <i/>
      <sz val="10"/>
      <color theme="3"/>
      <name val="Verdana"/>
      <family val="2"/>
    </font>
    <font>
      <b/>
      <u/>
      <sz val="10"/>
      <color indexed="12"/>
      <name val="Arial"/>
      <family val="2"/>
    </font>
    <font>
      <b/>
      <sz val="20"/>
      <color indexed="9"/>
      <name val="Verdana"/>
      <family val="2"/>
    </font>
    <font>
      <b/>
      <sz val="22"/>
      <color indexed="9"/>
      <name val="Verdana"/>
      <family val="2"/>
    </font>
    <font>
      <b/>
      <sz val="14"/>
      <color rgb="FFFFFFFF"/>
      <name val="Calibri"/>
      <family val="2"/>
      <scheme val="minor"/>
    </font>
    <font>
      <b/>
      <sz val="11"/>
      <color rgb="FFFFFFFF"/>
      <name val="Calibri"/>
      <family val="2"/>
      <scheme val="minor"/>
    </font>
    <font>
      <b/>
      <sz val="11"/>
      <color rgb="FF0000FF"/>
      <name val="Calibri"/>
      <family val="2"/>
      <scheme val="minor"/>
    </font>
    <font>
      <sz val="11"/>
      <color rgb="FF0000FF"/>
      <name val="Calibri"/>
      <family val="2"/>
      <scheme val="minor"/>
    </font>
    <font>
      <b/>
      <sz val="8"/>
      <name val="Arial"/>
      <family val="2"/>
    </font>
    <font>
      <b/>
      <sz val="10"/>
      <color theme="1"/>
      <name val="Arial"/>
      <family val="2"/>
    </font>
    <font>
      <sz val="8"/>
      <name val="Arial"/>
      <family val="2"/>
    </font>
    <font>
      <b/>
      <i/>
      <sz val="10"/>
      <name val="Geneva"/>
    </font>
    <font>
      <sz val="10"/>
      <name val="Calibri"/>
      <family val="2"/>
      <scheme val="minor"/>
    </font>
    <font>
      <sz val="12"/>
      <name val="Times New Roman"/>
      <family val="1"/>
    </font>
    <font>
      <sz val="11"/>
      <color indexed="8"/>
      <name val="Calibri"/>
      <family val="2"/>
    </font>
    <font>
      <sz val="11"/>
      <color indexed="9"/>
      <name val="Calibri"/>
      <family val="2"/>
    </font>
    <font>
      <sz val="8"/>
      <name val="Tahoma"/>
      <family val="2"/>
    </font>
    <font>
      <sz val="11"/>
      <color indexed="20"/>
      <name val="Calibri"/>
      <family val="2"/>
    </font>
    <font>
      <sz val="8"/>
      <name val="Verdana"/>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8"/>
      <color indexed="9"/>
      <name val="Tahoma"/>
      <family val="2"/>
    </font>
    <font>
      <b/>
      <sz val="8"/>
      <color indexed="8"/>
      <name val="Tahoma"/>
      <family val="2"/>
    </font>
    <font>
      <b/>
      <u/>
      <sz val="8"/>
      <color indexed="8"/>
      <name val="Tahoma"/>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8"/>
      <color indexed="23"/>
      <name val="Verdana"/>
      <family val="2"/>
    </font>
    <font>
      <b/>
      <sz val="11"/>
      <color indexed="63"/>
      <name val="Calibri"/>
      <family val="2"/>
    </font>
    <font>
      <sz val="16"/>
      <color indexed="9"/>
      <name val="Tahoma"/>
      <family val="2"/>
    </font>
    <font>
      <b/>
      <sz val="12"/>
      <color indexed="8"/>
      <name val="Arial"/>
      <family val="2"/>
    </font>
    <font>
      <b/>
      <i/>
      <sz val="12"/>
      <color indexed="8"/>
      <name val="Arial"/>
      <family val="2"/>
    </font>
    <font>
      <b/>
      <sz val="11"/>
      <color indexed="9"/>
      <name val="Arial"/>
      <family val="2"/>
    </font>
    <font>
      <b/>
      <i/>
      <sz val="11"/>
      <color indexed="9"/>
      <name val="Arial"/>
      <family val="2"/>
    </font>
    <font>
      <sz val="12"/>
      <color indexed="8"/>
      <name val="Arial"/>
      <family val="2"/>
    </font>
    <font>
      <b/>
      <sz val="10"/>
      <color indexed="8"/>
      <name val="Arial"/>
      <family val="2"/>
    </font>
    <font>
      <sz val="10"/>
      <color indexed="56"/>
      <name val="Arial"/>
      <family val="2"/>
    </font>
    <font>
      <sz val="10"/>
      <color indexed="8"/>
      <name val="Arial"/>
      <family val="2"/>
    </font>
    <font>
      <i/>
      <sz val="12"/>
      <color indexed="8"/>
      <name val="Arial"/>
      <family val="2"/>
    </font>
    <font>
      <sz val="12"/>
      <color indexed="9"/>
      <name val="Arial"/>
      <family val="2"/>
    </font>
    <font>
      <i/>
      <sz val="12"/>
      <color indexed="9"/>
      <name val="Arial"/>
      <family val="2"/>
    </font>
    <font>
      <b/>
      <sz val="12"/>
      <color indexed="12"/>
      <name val="Arial"/>
      <family val="2"/>
    </font>
    <font>
      <sz val="11"/>
      <color indexed="9"/>
      <name val="Arial"/>
      <family val="2"/>
    </font>
    <font>
      <i/>
      <sz val="11"/>
      <color indexed="9"/>
      <name val="Arial"/>
      <family val="2"/>
    </font>
    <font>
      <b/>
      <sz val="11"/>
      <color indexed="56"/>
      <name val="Arial"/>
      <family val="2"/>
    </font>
    <font>
      <b/>
      <i/>
      <sz val="11"/>
      <color indexed="56"/>
      <name val="Arial"/>
      <family val="2"/>
    </font>
    <font>
      <b/>
      <sz val="11"/>
      <color indexed="18"/>
      <name val="Arial Narrow"/>
      <family val="2"/>
    </font>
    <font>
      <sz val="19"/>
      <color indexed="48"/>
      <name val="Arial"/>
      <family val="2"/>
    </font>
    <font>
      <sz val="12"/>
      <color indexed="14"/>
      <name val="Arial"/>
      <family val="2"/>
    </font>
    <font>
      <b/>
      <sz val="8"/>
      <color indexed="63"/>
      <name val="Verdana"/>
      <family val="2"/>
    </font>
    <font>
      <b/>
      <sz val="18"/>
      <color indexed="56"/>
      <name val="Cambria"/>
      <family val="2"/>
    </font>
    <font>
      <b/>
      <sz val="11"/>
      <color indexed="8"/>
      <name val="Calibri"/>
      <family val="2"/>
    </font>
    <font>
      <sz val="11"/>
      <color indexed="10"/>
      <name val="Calibri"/>
      <family val="2"/>
    </font>
    <font>
      <sz val="11"/>
      <name val="돋움"/>
      <family val="2"/>
      <charset val="129"/>
    </font>
    <font>
      <sz val="11"/>
      <name val="ＭＳ Ｐゴシック"/>
      <family val="2"/>
      <charset val="128"/>
    </font>
    <font>
      <sz val="11"/>
      <color rgb="FF8DB4E3"/>
      <name val="Calibri"/>
      <family val="2"/>
      <scheme val="minor"/>
    </font>
  </fonts>
  <fills count="10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1"/>
        <bgColor indexed="64"/>
      </patternFill>
    </fill>
    <fill>
      <patternFill patternType="solid">
        <fgColor theme="0" tint="-4.9989318521683403E-2"/>
        <bgColor auto="1"/>
      </patternFill>
    </fill>
    <fill>
      <patternFill patternType="solid">
        <fgColor theme="0" tint="-0.14996795556505021"/>
        <bgColor indexed="64"/>
      </patternFill>
    </fill>
    <fill>
      <patternFill patternType="solid">
        <fgColor theme="0" tint="-0.14999847407452621"/>
        <bgColor indexed="64"/>
      </patternFill>
    </fill>
    <fill>
      <gradientFill degree="90">
        <stop position="0">
          <color rgb="FF285EA0"/>
        </stop>
        <stop position="1">
          <color rgb="FF002060"/>
        </stop>
      </gradientFill>
    </fill>
    <fill>
      <gradientFill degree="270">
        <stop position="0">
          <color theme="0" tint="-0.1490218817712943"/>
        </stop>
        <stop position="1">
          <color theme="0" tint="-0.34900967436750391"/>
        </stop>
      </gradientFill>
    </fill>
    <fill>
      <patternFill patternType="solid">
        <fgColor theme="0"/>
        <bgColor indexed="64"/>
      </patternFill>
    </fill>
    <fill>
      <gradientFill degree="90">
        <stop position="0">
          <color theme="0"/>
        </stop>
        <stop position="1">
          <color theme="4" tint="0.40000610370189521"/>
        </stop>
      </gradientFill>
    </fill>
    <fill>
      <gradientFill degree="90">
        <stop position="0">
          <color theme="0" tint="-0.25098422193060094"/>
        </stop>
        <stop position="1">
          <color theme="0" tint="-5.0965910824915313E-2"/>
        </stop>
      </gradientFill>
    </fill>
    <fill>
      <patternFill patternType="solid">
        <fgColor rgb="FFC9D9EB"/>
        <bgColor auto="1"/>
      </patternFill>
    </fill>
    <fill>
      <patternFill patternType="solid">
        <fgColor rgb="FFC9D9EB"/>
        <bgColor indexed="64"/>
      </patternFill>
    </fill>
    <fill>
      <gradientFill degree="90">
        <stop position="0">
          <color theme="0" tint="-0.49803155613879818"/>
        </stop>
        <stop position="1">
          <color theme="0" tint="-0.25098422193060094"/>
        </stop>
      </gradientFill>
    </fill>
    <fill>
      <gradientFill degree="90">
        <stop position="0">
          <color rgb="FF8FB0D5"/>
        </stop>
        <stop position="1">
          <color rgb="FFC9D9EB"/>
        </stop>
      </gradientFill>
    </fill>
    <fill>
      <gradientFill degree="270">
        <stop position="0">
          <color theme="0"/>
        </stop>
        <stop position="1">
          <color theme="4" tint="0.40000610370189521"/>
        </stop>
      </gradientFill>
    </fill>
    <fill>
      <patternFill patternType="solid">
        <fgColor theme="3"/>
        <bgColor indexed="64"/>
      </patternFill>
    </fill>
    <fill>
      <gradientFill degree="90">
        <stop position="0">
          <color theme="4"/>
        </stop>
        <stop position="1">
          <color theme="3"/>
        </stop>
      </gradientFill>
    </fill>
    <fill>
      <gradientFill degree="90">
        <stop position="0">
          <color theme="4" tint="-0.49803155613879818"/>
        </stop>
        <stop position="1">
          <color theme="4"/>
        </stop>
      </gradientFill>
    </fill>
    <fill>
      <patternFill patternType="solid">
        <fgColor rgb="FFD8D8D8"/>
        <bgColor indexed="64"/>
      </patternFill>
    </fill>
    <fill>
      <gradientFill degree="90">
        <stop position="0">
          <color rgb="FF376091"/>
        </stop>
        <stop position="1">
          <color rgb="FF17375D"/>
        </stop>
      </gradientFill>
    </fill>
    <fill>
      <patternFill patternType="solid">
        <fgColor rgb="FFFFFFFF"/>
        <bgColor indexed="64"/>
      </patternFill>
    </fill>
    <fill>
      <gradientFill degree="90">
        <stop position="0">
          <color rgb="FF5FA569"/>
        </stop>
        <stop position="1">
          <color rgb="FF597B4D"/>
        </stop>
      </gradientFill>
    </fill>
    <fill>
      <gradientFill degree="90">
        <stop position="0">
          <color theme="3" tint="0.40000610370189521"/>
        </stop>
        <stop position="0.5">
          <color theme="3" tint="0.80001220740379042"/>
        </stop>
        <stop position="1">
          <color theme="3" tint="0.40000610370189521"/>
        </stop>
      </gradientFill>
    </fill>
    <fill>
      <patternFill patternType="solid">
        <fgColor rgb="FFF0F8FA"/>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9"/>
        <bgColor indexed="64"/>
      </patternFill>
    </fill>
    <fill>
      <patternFill patternType="solid">
        <fgColor indexed="55"/>
        <bgColor indexed="64"/>
      </patternFill>
    </fill>
    <fill>
      <patternFill patternType="solid">
        <fgColor indexed="22"/>
      </patternFill>
    </fill>
    <fill>
      <patternFill patternType="solid">
        <fgColor indexed="55"/>
      </patternFill>
    </fill>
    <fill>
      <patternFill patternType="solid">
        <fgColor indexed="8"/>
        <bgColor indexed="64"/>
      </patternFill>
    </fill>
    <fill>
      <patternFill patternType="solid">
        <fgColor indexed="22"/>
        <bgColor indexed="64"/>
      </patternFill>
    </fill>
    <fill>
      <patternFill patternType="solid">
        <fgColor indexed="9"/>
        <bgColor indexed="9"/>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1"/>
        <bgColor indexed="64"/>
      </patternFill>
    </fill>
    <fill>
      <patternFill patternType="solid">
        <fgColor indexed="10"/>
        <bgColor indexed="64"/>
      </patternFill>
    </fill>
    <fill>
      <patternFill patternType="solid">
        <fgColor indexed="54"/>
        <bgColor indexed="64"/>
      </patternFill>
    </fill>
    <fill>
      <patternFill patternType="solid">
        <fgColor indexed="45"/>
        <bgColor indexed="64"/>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solid">
        <fgColor indexed="47"/>
        <bgColor indexed="64"/>
      </patternFill>
    </fill>
    <fill>
      <patternFill patternType="solid">
        <fgColor indexed="50"/>
        <bgColor indexed="64"/>
      </patternFill>
    </fill>
    <fill>
      <patternFill patternType="solid">
        <fgColor indexed="57"/>
        <bgColor indexed="64"/>
      </patternFill>
    </fill>
    <fill>
      <patternFill patternType="lightUp">
        <fgColor indexed="48"/>
        <bgColor indexed="44"/>
      </patternFill>
    </fill>
    <fill>
      <patternFill patternType="solid">
        <fgColor indexed="44"/>
        <bgColor indexed="64"/>
      </patternFill>
    </fill>
    <fill>
      <patternFill patternType="solid">
        <fgColor indexed="40"/>
        <bgColor indexed="64"/>
      </patternFill>
    </fill>
    <fill>
      <patternFill patternType="solid">
        <fgColor indexed="41"/>
        <bgColor indexed="64"/>
      </patternFill>
    </fill>
    <fill>
      <patternFill patternType="solid">
        <fgColor indexed="26"/>
        <bgColor indexed="64"/>
      </patternFill>
    </fill>
  </fills>
  <borders count="1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3"/>
      </left>
      <right style="thick">
        <color theme="3"/>
      </right>
      <top style="thick">
        <color theme="3"/>
      </top>
      <bottom style="thick">
        <color theme="3"/>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right/>
      <top style="thick">
        <color theme="3"/>
      </top>
      <bottom/>
      <diagonal/>
    </border>
    <border>
      <left style="thick">
        <color theme="3"/>
      </left>
      <right/>
      <top style="thick">
        <color theme="3"/>
      </top>
      <bottom style="thin">
        <color theme="0" tint="-0.34998626667073579"/>
      </bottom>
      <diagonal/>
    </border>
    <border>
      <left/>
      <right/>
      <top style="thick">
        <color theme="3"/>
      </top>
      <bottom style="thin">
        <color theme="0" tint="-0.34998626667073579"/>
      </bottom>
      <diagonal/>
    </border>
    <border>
      <left/>
      <right style="thick">
        <color theme="3"/>
      </right>
      <top style="thick">
        <color theme="3"/>
      </top>
      <bottom style="thin">
        <color theme="0" tint="-0.34998626667073579"/>
      </bottom>
      <diagonal/>
    </border>
    <border>
      <left style="thick">
        <color theme="3"/>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ck">
        <color theme="3"/>
      </right>
      <top style="thin">
        <color theme="0" tint="-0.34998626667073579"/>
      </top>
      <bottom style="thin">
        <color theme="0" tint="-0.34998626667073579"/>
      </bottom>
      <diagonal/>
    </border>
    <border>
      <left style="thick">
        <color theme="3"/>
      </left>
      <right/>
      <top/>
      <bottom/>
      <diagonal/>
    </border>
    <border>
      <left/>
      <right style="thick">
        <color theme="3"/>
      </right>
      <top/>
      <bottom/>
      <diagonal/>
    </border>
    <border>
      <left style="thick">
        <color theme="3"/>
      </left>
      <right/>
      <top/>
      <bottom style="thick">
        <color theme="3"/>
      </bottom>
      <diagonal/>
    </border>
    <border>
      <left/>
      <right/>
      <top/>
      <bottom style="thick">
        <color theme="3"/>
      </bottom>
      <diagonal/>
    </border>
    <border>
      <left/>
      <right style="thick">
        <color theme="3"/>
      </right>
      <top/>
      <bottom style="thick">
        <color theme="3"/>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theme="3"/>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style="medium">
        <color theme="3"/>
      </right>
      <top/>
      <bottom style="medium">
        <color theme="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theme="3"/>
      </left>
      <right/>
      <top style="medium">
        <color theme="3"/>
      </top>
      <bottom style="medium">
        <color theme="3"/>
      </bottom>
      <diagonal/>
    </border>
    <border>
      <left/>
      <right style="medium">
        <color theme="3"/>
      </right>
      <top style="medium">
        <color theme="3"/>
      </top>
      <bottom style="medium">
        <color theme="3"/>
      </bottom>
      <diagonal/>
    </border>
    <border>
      <left style="thick">
        <color theme="3"/>
      </left>
      <right/>
      <top style="thick">
        <color theme="3"/>
      </top>
      <bottom style="medium">
        <color theme="0" tint="-0.34998626667073579"/>
      </bottom>
      <diagonal/>
    </border>
    <border>
      <left/>
      <right/>
      <top style="thick">
        <color theme="3"/>
      </top>
      <bottom style="medium">
        <color theme="0" tint="-0.34998626667073579"/>
      </bottom>
      <diagonal/>
    </border>
    <border>
      <left/>
      <right style="thick">
        <color theme="3"/>
      </right>
      <top style="thick">
        <color theme="3"/>
      </top>
      <bottom style="medium">
        <color theme="0" tint="-0.34998626667073579"/>
      </bottom>
      <diagonal/>
    </border>
    <border>
      <left style="medium">
        <color indexed="64"/>
      </left>
      <right/>
      <top style="medium">
        <color indexed="64"/>
      </top>
      <bottom/>
      <diagonal/>
    </border>
    <border>
      <left style="medium">
        <color indexed="64"/>
      </left>
      <right/>
      <top/>
      <bottom style="medium">
        <color indexed="64"/>
      </bottom>
      <diagonal/>
    </border>
    <border>
      <left/>
      <right/>
      <top style="thin">
        <color theme="0" tint="-0.34998626667073579"/>
      </top>
      <bottom/>
      <diagonal/>
    </border>
    <border>
      <left/>
      <right/>
      <top/>
      <bottom style="thin">
        <color theme="0" tint="-0.34998626667073579"/>
      </bottom>
      <diagonal/>
    </border>
    <border>
      <left style="thick">
        <color theme="3"/>
      </left>
      <right style="thin">
        <color theme="0" tint="-0.34998626667073579"/>
      </right>
      <top/>
      <bottom/>
      <diagonal/>
    </border>
    <border>
      <left style="thin">
        <color theme="0" tint="-0.34998626667073579"/>
      </left>
      <right style="thick">
        <color theme="3"/>
      </right>
      <top/>
      <bottom/>
      <diagonal/>
    </border>
    <border>
      <left style="medium">
        <color theme="3"/>
      </left>
      <right/>
      <top style="medium">
        <color theme="3"/>
      </top>
      <bottom style="thin">
        <color theme="0" tint="-0.34998626667073579"/>
      </bottom>
      <diagonal/>
    </border>
    <border>
      <left/>
      <right/>
      <top style="medium">
        <color theme="3"/>
      </top>
      <bottom style="thin">
        <color theme="0" tint="-0.34998626667073579"/>
      </bottom>
      <diagonal/>
    </border>
    <border>
      <left/>
      <right style="medium">
        <color theme="3"/>
      </right>
      <top style="medium">
        <color theme="3"/>
      </top>
      <bottom style="thin">
        <color theme="0" tint="-0.34998626667073579"/>
      </bottom>
      <diagonal/>
    </border>
    <border>
      <left style="medium">
        <color theme="3"/>
      </left>
      <right/>
      <top style="thin">
        <color theme="0" tint="-0.34998626667073579"/>
      </top>
      <bottom style="thin">
        <color theme="0" tint="-0.34998626667073579"/>
      </bottom>
      <diagonal/>
    </border>
    <border>
      <left/>
      <right style="medium">
        <color theme="3"/>
      </right>
      <top style="thin">
        <color theme="0" tint="-0.34998626667073579"/>
      </top>
      <bottom style="thin">
        <color theme="0" tint="-0.34998626667073579"/>
      </bottom>
      <diagonal/>
    </border>
    <border>
      <left style="medium">
        <color theme="3"/>
      </left>
      <right style="thin">
        <color theme="0" tint="-0.34998626667073579"/>
      </right>
      <top style="thin">
        <color theme="0" tint="-0.34998626667073579"/>
      </top>
      <bottom/>
      <diagonal/>
    </border>
    <border>
      <left style="thin">
        <color theme="0" tint="-0.34998626667073579"/>
      </left>
      <right style="medium">
        <color theme="3"/>
      </right>
      <top style="thin">
        <color theme="0" tint="-0.34998626667073579"/>
      </top>
      <bottom/>
      <diagonal/>
    </border>
    <border>
      <left style="medium">
        <color theme="3"/>
      </left>
      <right style="thin">
        <color theme="0" tint="-0.34998626667073579"/>
      </right>
      <top/>
      <bottom/>
      <diagonal/>
    </border>
    <border>
      <left style="thin">
        <color theme="0" tint="-0.34998626667073579"/>
      </left>
      <right style="medium">
        <color theme="3"/>
      </right>
      <top/>
      <bottom/>
      <diagonal/>
    </border>
    <border>
      <left style="medium">
        <color theme="3"/>
      </left>
      <right style="thin">
        <color theme="0" tint="-0.34998626667073579"/>
      </right>
      <top/>
      <bottom style="medium">
        <color theme="3"/>
      </bottom>
      <diagonal/>
    </border>
    <border>
      <left/>
      <right/>
      <top/>
      <bottom style="medium">
        <color theme="3"/>
      </bottom>
      <diagonal/>
    </border>
    <border>
      <left style="thin">
        <color theme="0" tint="-0.34998626667073579"/>
      </left>
      <right style="medium">
        <color theme="3"/>
      </right>
      <top/>
      <bottom style="medium">
        <color theme="3"/>
      </bottom>
      <diagonal/>
    </border>
    <border>
      <left style="thin">
        <color theme="3"/>
      </left>
      <right style="thin">
        <color theme="3"/>
      </right>
      <top/>
      <bottom/>
      <diagonal/>
    </border>
    <border>
      <left/>
      <right style="thin">
        <color theme="3"/>
      </right>
      <top/>
      <bottom/>
      <diagonal/>
    </border>
    <border>
      <left style="medium">
        <color rgb="FF000000"/>
      </left>
      <right/>
      <top/>
      <bottom/>
      <diagonal/>
    </border>
    <border>
      <left/>
      <right style="medium">
        <color rgb="FF000000"/>
      </right>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808080"/>
      </left>
      <right style="thin">
        <color rgb="FF808080"/>
      </right>
      <top style="thin">
        <color rgb="FF808080"/>
      </top>
      <bottom style="thin">
        <color rgb="FF808080"/>
      </bottom>
      <diagonal/>
    </border>
    <border>
      <left style="thin">
        <color rgb="FF808080"/>
      </left>
      <right style="medium">
        <color rgb="FF000000"/>
      </right>
      <top style="thin">
        <color rgb="FF808080"/>
      </top>
      <bottom style="thin">
        <color rgb="FF80808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808080"/>
      </left>
      <right style="thin">
        <color rgb="FF808080"/>
      </right>
      <top/>
      <bottom style="thin">
        <color rgb="FF808080"/>
      </bottom>
      <diagonal/>
    </border>
    <border>
      <left/>
      <right/>
      <top style="medium">
        <color indexed="64"/>
      </top>
      <bottom style="medium">
        <color indexed="64"/>
      </bottom>
      <diagonal/>
    </border>
    <border>
      <left style="medium">
        <color indexed="64"/>
      </left>
      <right style="dotted">
        <color indexed="64"/>
      </right>
      <top/>
      <bottom style="thin">
        <color theme="6" tint="0.39997558519241921"/>
      </bottom>
      <diagonal/>
    </border>
    <border>
      <left style="medium">
        <color indexed="64"/>
      </left>
      <right style="dotted">
        <color indexed="64"/>
      </right>
      <top/>
      <bottom style="thin">
        <color indexed="45"/>
      </bottom>
      <diagonal/>
    </border>
    <border>
      <left style="medium">
        <color indexed="64"/>
      </left>
      <right style="dotted">
        <color indexed="64"/>
      </right>
      <top style="thin">
        <color theme="6" tint="0.39994506668294322"/>
      </top>
      <bottom style="thin">
        <color theme="6" tint="0.39994506668294322"/>
      </bottom>
      <diagonal/>
    </border>
    <border>
      <left style="medium">
        <color indexed="64"/>
      </left>
      <right style="dotted">
        <color indexed="64"/>
      </right>
      <top style="thin">
        <color indexed="45"/>
      </top>
      <bottom style="thin">
        <color indexed="45"/>
      </bottom>
      <diagonal/>
    </border>
    <border>
      <left style="medium">
        <color theme="0" tint="-0.24994659260841701"/>
      </left>
      <right style="medium">
        <color theme="0" tint="-4.9989318521683403E-2"/>
      </right>
      <top style="medium">
        <color theme="0" tint="-0.24994659260841701"/>
      </top>
      <bottom style="medium">
        <color theme="0" tint="-4.9989318521683403E-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style="thin">
        <color indexed="55"/>
      </right>
      <top/>
      <bottom/>
      <diagonal/>
    </border>
    <border>
      <left/>
      <right/>
      <top/>
      <bottom style="thick">
        <color indexed="22"/>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right/>
      <top/>
      <bottom style="thick">
        <color indexed="44"/>
      </bottom>
      <diagonal/>
    </border>
    <border>
      <left style="thin">
        <color indexed="41"/>
      </left>
      <right style="thin">
        <color indexed="48"/>
      </right>
      <top style="medium">
        <color indexed="41"/>
      </top>
      <bottom style="thin">
        <color indexed="48"/>
      </bottom>
      <diagonal/>
    </border>
    <border>
      <left/>
      <right/>
      <top style="thin">
        <color indexed="48"/>
      </top>
      <bottom style="thin">
        <color indexed="48"/>
      </bottom>
      <diagonal/>
    </border>
    <border>
      <left/>
      <right/>
      <top style="thin">
        <color indexed="62"/>
      </top>
      <bottom style="double">
        <color indexed="62"/>
      </bottom>
      <diagonal/>
    </border>
  </borders>
  <cellStyleXfs count="22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xf numFmtId="0" fontId="21" fillId="0" borderId="0"/>
    <xf numFmtId="0" fontId="22" fillId="0" borderId="0" applyNumberFormat="0" applyFill="0" applyBorder="0" applyAlignment="0" applyProtection="0">
      <alignment vertical="top"/>
      <protection locked="0"/>
    </xf>
    <xf numFmtId="0" fontId="53" fillId="0" borderId="0"/>
    <xf numFmtId="0" fontId="54" fillId="0" borderId="0" applyNumberFormat="0" applyFill="0" applyBorder="0" applyAlignment="0" applyProtection="0">
      <alignment vertical="top"/>
      <protection locked="0"/>
    </xf>
    <xf numFmtId="44" fontId="20" fillId="0" borderId="0" applyFont="0" applyFill="0" applyBorder="0" applyAlignment="0" applyProtection="0"/>
    <xf numFmtId="0" fontId="20" fillId="0" borderId="0"/>
    <xf numFmtId="0" fontId="71" fillId="55" borderId="93">
      <alignment horizontal="center" shrinkToFit="1"/>
    </xf>
    <xf numFmtId="168" fontId="72" fillId="0" borderId="94" applyFill="0" applyBorder="0" applyAlignment="0" applyProtection="0">
      <alignment horizontal="center" vertical="center" shrinkToFit="1"/>
      <protection locked="0"/>
    </xf>
    <xf numFmtId="168" fontId="72" fillId="0" borderId="94" applyFill="0" applyBorder="0" applyAlignment="0" applyProtection="0">
      <alignment horizontal="center" vertical="center" shrinkToFit="1"/>
      <protection locked="0"/>
    </xf>
    <xf numFmtId="168" fontId="72" fillId="0" borderId="95" applyFill="0" applyBorder="0" applyAlignment="0" applyProtection="0">
      <alignment horizontal="center" vertical="center" shrinkToFit="1"/>
      <protection locked="0"/>
    </xf>
    <xf numFmtId="168" fontId="72" fillId="0" borderId="95" applyFill="0" applyBorder="0" applyAlignment="0" applyProtection="0">
      <alignment horizontal="center" vertical="center" shrinkToFit="1"/>
      <protection locked="0"/>
    </xf>
    <xf numFmtId="169" fontId="72" fillId="0" borderId="95" applyFill="0" applyBorder="0" applyAlignment="0" applyProtection="0">
      <alignment horizontal="center" vertical="center" shrinkToFit="1"/>
      <protection locked="0"/>
    </xf>
    <xf numFmtId="169" fontId="72" fillId="0" borderId="95" applyFill="0" applyBorder="0" applyAlignment="0" applyProtection="0">
      <alignment horizontal="center" vertical="center" shrinkToFit="1"/>
      <protection locked="0"/>
    </xf>
    <xf numFmtId="170" fontId="72" fillId="0" borderId="94" applyFill="0" applyBorder="0" applyAlignment="0" applyProtection="0">
      <alignment horizontal="center" vertical="center" shrinkToFit="1"/>
      <protection locked="0"/>
    </xf>
    <xf numFmtId="171" fontId="72" fillId="0" borderId="95" applyFill="0" applyBorder="0" applyAlignment="0" applyProtection="0">
      <alignment horizontal="center" vertical="center" shrinkToFit="1"/>
      <protection locked="0"/>
    </xf>
    <xf numFmtId="171" fontId="72" fillId="0" borderId="95" applyFill="0" applyBorder="0" applyAlignment="0" applyProtection="0">
      <alignment horizontal="center" vertical="center" shrinkToFit="1"/>
      <protection locked="0"/>
    </xf>
    <xf numFmtId="0" fontId="72" fillId="0" borderId="94" applyFill="0" applyBorder="0" applyAlignment="0" applyProtection="0">
      <alignment horizontal="center" vertical="center" shrinkToFit="1"/>
      <protection locked="0"/>
    </xf>
    <xf numFmtId="172" fontId="72" fillId="0" borderId="95" applyFill="0" applyBorder="0" applyAlignment="0" applyProtection="0">
      <alignment horizontal="center" vertical="center" shrinkToFit="1"/>
      <protection locked="0"/>
    </xf>
    <xf numFmtId="172" fontId="72" fillId="0" borderId="95" applyFill="0" applyBorder="0" applyAlignment="0" applyProtection="0">
      <alignment horizontal="center" vertical="center" shrinkToFit="1"/>
      <protection locked="0"/>
    </xf>
    <xf numFmtId="1" fontId="72" fillId="0" borderId="94" applyFill="0" applyBorder="0" applyAlignment="0" applyProtection="0">
      <alignment horizontal="center" vertical="center" shrinkToFit="1"/>
      <protection locked="0"/>
    </xf>
    <xf numFmtId="1" fontId="72" fillId="0" borderId="95" applyFill="0" applyBorder="0" applyAlignment="0" applyProtection="0">
      <alignment horizontal="center" vertical="center" shrinkToFit="1"/>
      <protection locked="0"/>
    </xf>
    <xf numFmtId="1" fontId="72" fillId="0" borderId="95" applyFill="0" applyBorder="0" applyAlignment="0" applyProtection="0">
      <alignment horizontal="center" vertical="center" shrinkToFit="1"/>
      <protection locked="0"/>
    </xf>
    <xf numFmtId="173" fontId="72" fillId="0" borderId="96" applyFill="0" applyBorder="0" applyAlignment="0" applyProtection="0">
      <alignment horizontal="center" vertical="center" shrinkToFit="1"/>
      <protection locked="0"/>
    </xf>
    <xf numFmtId="173" fontId="72" fillId="0" borderId="97" applyFill="0" applyBorder="0" applyAlignment="0" applyProtection="0">
      <alignment horizontal="center" vertical="center" shrinkToFit="1"/>
      <protection locked="0"/>
    </xf>
    <xf numFmtId="173" fontId="72" fillId="0" borderId="97" applyFill="0" applyBorder="0" applyAlignment="0" applyProtection="0">
      <alignment horizontal="center" vertical="center" shrinkToFit="1"/>
      <protection locked="0"/>
    </xf>
    <xf numFmtId="0" fontId="73" fillId="56" borderId="0">
      <alignment horizontal="center" vertical="center" shrinkToFit="1"/>
    </xf>
    <xf numFmtId="169" fontId="74" fillId="40" borderId="98">
      <alignment horizontal="center" vertical="center" shrinkToFit="1"/>
      <protection locked="0"/>
    </xf>
    <xf numFmtId="43" fontId="53" fillId="0" borderId="0" applyFont="0" applyFill="0" applyBorder="0" applyAlignment="0" applyProtection="0"/>
    <xf numFmtId="43" fontId="53" fillId="0" borderId="0" applyFont="0" applyFill="0" applyBorder="0" applyAlignment="0" applyProtection="0"/>
    <xf numFmtId="43" fontId="53" fillId="0" borderId="0" applyFont="0" applyFill="0" applyBorder="0" applyAlignment="0" applyProtection="0"/>
    <xf numFmtId="43" fontId="53" fillId="0" borderId="0" applyFont="0" applyFill="0" applyBorder="0" applyAlignment="0" applyProtection="0"/>
    <xf numFmtId="0" fontId="75" fillId="0" borderId="0" applyNumberFormat="0" applyFill="0" applyBorder="0" applyAlignment="0" applyProtection="0">
      <alignment vertical="top"/>
      <protection locked="0"/>
    </xf>
    <xf numFmtId="0" fontId="21" fillId="0" borderId="0"/>
    <xf numFmtId="0" fontId="21"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0" fontId="76" fillId="0" borderId="0"/>
    <xf numFmtId="0" fontId="77" fillId="57" borderId="0" applyNumberFormat="0" applyBorder="0" applyAlignment="0" applyProtection="0"/>
    <xf numFmtId="0" fontId="77" fillId="58" borderId="0" applyNumberFormat="0" applyBorder="0" applyAlignment="0" applyProtection="0"/>
    <xf numFmtId="0" fontId="77" fillId="59" borderId="0" applyNumberFormat="0" applyBorder="0" applyAlignment="0" applyProtection="0"/>
    <xf numFmtId="0" fontId="77" fillId="60" borderId="0" applyNumberFormat="0" applyBorder="0" applyAlignment="0" applyProtection="0"/>
    <xf numFmtId="0" fontId="77" fillId="61" borderId="0" applyNumberFormat="0" applyBorder="0" applyAlignment="0" applyProtection="0"/>
    <xf numFmtId="0" fontId="77" fillId="62" borderId="0" applyNumberFormat="0" applyBorder="0" applyAlignment="0" applyProtection="0"/>
    <xf numFmtId="0" fontId="77" fillId="63" borderId="0" applyNumberFormat="0" applyBorder="0" applyAlignment="0" applyProtection="0"/>
    <xf numFmtId="0" fontId="77" fillId="64" borderId="0" applyNumberFormat="0" applyBorder="0" applyAlignment="0" applyProtection="0"/>
    <xf numFmtId="0" fontId="77" fillId="65" borderId="0" applyNumberFormat="0" applyBorder="0" applyAlignment="0" applyProtection="0"/>
    <xf numFmtId="0" fontId="77" fillId="60" borderId="0" applyNumberFormat="0" applyBorder="0" applyAlignment="0" applyProtection="0"/>
    <xf numFmtId="0" fontId="77" fillId="63" borderId="0" applyNumberFormat="0" applyBorder="0" applyAlignment="0" applyProtection="0"/>
    <xf numFmtId="0" fontId="77" fillId="66" borderId="0" applyNumberFormat="0" applyBorder="0" applyAlignment="0" applyProtection="0"/>
    <xf numFmtId="0" fontId="78" fillId="67" borderId="0" applyNumberFormat="0" applyBorder="0" applyAlignment="0" applyProtection="0"/>
    <xf numFmtId="0" fontId="78" fillId="64" borderId="0" applyNumberFormat="0" applyBorder="0" applyAlignment="0" applyProtection="0"/>
    <xf numFmtId="0" fontId="78" fillId="65" borderId="0" applyNumberFormat="0" applyBorder="0" applyAlignment="0" applyProtection="0"/>
    <xf numFmtId="0" fontId="78" fillId="68" borderId="0" applyNumberFormat="0" applyBorder="0" applyAlignment="0" applyProtection="0"/>
    <xf numFmtId="0" fontId="78" fillId="69" borderId="0" applyNumberFormat="0" applyBorder="0" applyAlignment="0" applyProtection="0"/>
    <xf numFmtId="0" fontId="78" fillId="70" borderId="0" applyNumberFormat="0" applyBorder="0" applyAlignment="0" applyProtection="0"/>
    <xf numFmtId="0" fontId="78" fillId="71" borderId="0" applyNumberFormat="0" applyBorder="0" applyAlignment="0" applyProtection="0"/>
    <xf numFmtId="0" fontId="78" fillId="72" borderId="0" applyNumberFormat="0" applyBorder="0" applyAlignment="0" applyProtection="0"/>
    <xf numFmtId="0" fontId="78" fillId="73" borderId="0" applyNumberFormat="0" applyBorder="0" applyAlignment="0" applyProtection="0"/>
    <xf numFmtId="0" fontId="78" fillId="68" borderId="0" applyNumberFormat="0" applyBorder="0" applyAlignment="0" applyProtection="0"/>
    <xf numFmtId="0" fontId="78" fillId="69" borderId="0" applyNumberFormat="0" applyBorder="0" applyAlignment="0" applyProtection="0"/>
    <xf numFmtId="0" fontId="78" fillId="74" borderId="0" applyNumberFormat="0" applyBorder="0" applyAlignment="0" applyProtection="0"/>
    <xf numFmtId="171" fontId="79" fillId="75" borderId="43" applyFont="0" applyFill="0" applyBorder="0" applyProtection="0">
      <alignment vertical="center"/>
    </xf>
    <xf numFmtId="0" fontId="80" fillId="58" borderId="0" applyNumberFormat="0" applyBorder="0" applyAlignment="0" applyProtection="0"/>
    <xf numFmtId="0" fontId="81" fillId="76" borderId="0" applyBorder="0">
      <alignment horizontal="left" vertical="center" indent="1"/>
    </xf>
    <xf numFmtId="0" fontId="82" fillId="77" borderId="99" applyNumberFormat="0" applyAlignment="0" applyProtection="0"/>
    <xf numFmtId="0" fontId="83" fillId="78" borderId="100" applyNumberFormat="0" applyAlignment="0" applyProtection="0"/>
    <xf numFmtId="43" fontId="53" fillId="0" borderId="0" applyFont="0" applyFill="0" applyBorder="0" applyAlignment="0" applyProtection="0"/>
    <xf numFmtId="175" fontId="53" fillId="0" borderId="0" applyFont="0" applyFill="0" applyBorder="0" applyAlignment="0" applyProtection="0"/>
    <xf numFmtId="175" fontId="53" fillId="0" borderId="0" applyFont="0" applyFill="0" applyBorder="0" applyAlignment="0" applyProtection="0"/>
    <xf numFmtId="43" fontId="53" fillId="0" borderId="0" applyFont="0" applyFill="0" applyBorder="0" applyAlignment="0" applyProtection="0"/>
    <xf numFmtId="43" fontId="53" fillId="0" borderId="0" applyFont="0" applyFill="0" applyBorder="0" applyAlignment="0" applyProtection="0"/>
    <xf numFmtId="43" fontId="53" fillId="0" borderId="0" applyFont="0" applyFill="0" applyBorder="0" applyAlignment="0" applyProtection="0"/>
    <xf numFmtId="44" fontId="53" fillId="0" borderId="0" applyFont="0" applyFill="0" applyBorder="0" applyAlignment="0" applyProtection="0"/>
    <xf numFmtId="44" fontId="53" fillId="0" borderId="0" applyFont="0" applyFill="0" applyBorder="0" applyAlignment="0" applyProtection="0"/>
    <xf numFmtId="44" fontId="77" fillId="0" borderId="0" applyFont="0" applyFill="0" applyBorder="0" applyAlignment="0" applyProtection="0"/>
    <xf numFmtId="44" fontId="53" fillId="0" borderId="0" applyFont="0" applyFill="0" applyBorder="0" applyAlignment="0" applyProtection="0"/>
    <xf numFmtId="176" fontId="53" fillId="0" borderId="0" applyFont="0" applyFill="0" applyBorder="0" applyAlignment="0" applyProtection="0"/>
    <xf numFmtId="176" fontId="53" fillId="0" borderId="0" applyFont="0" applyFill="0" applyBorder="0" applyAlignment="0" applyProtection="0"/>
    <xf numFmtId="44" fontId="53" fillId="0" borderId="0" applyFont="0" applyFill="0" applyBorder="0" applyAlignment="0" applyProtection="0"/>
    <xf numFmtId="0" fontId="84" fillId="0" borderId="0" applyNumberFormat="0" applyFill="0" applyBorder="0" applyAlignment="0" applyProtection="0"/>
    <xf numFmtId="0" fontId="85" fillId="59" borderId="0" applyNumberFormat="0" applyBorder="0" applyAlignment="0" applyProtection="0"/>
    <xf numFmtId="171" fontId="86" fillId="79" borderId="49" applyBorder="0" applyAlignment="0">
      <alignment horizontal="left" vertical="center" indent="1"/>
    </xf>
    <xf numFmtId="171" fontId="87" fillId="80" borderId="35" applyBorder="0">
      <alignment horizontal="left" vertical="center" indent="1"/>
    </xf>
    <xf numFmtId="37" fontId="86" fillId="79" borderId="49" applyBorder="0">
      <alignment horizontal="left" vertical="center" indent="1"/>
    </xf>
    <xf numFmtId="0" fontId="87" fillId="81" borderId="33" applyNumberFormat="0" applyBorder="0">
      <alignment horizontal="left" vertical="top" indent="1"/>
    </xf>
    <xf numFmtId="0" fontId="87" fillId="75" borderId="0" applyBorder="0">
      <alignment horizontal="left" vertical="center" indent="1"/>
    </xf>
    <xf numFmtId="0" fontId="87" fillId="0" borderId="33" applyNumberFormat="0" applyFill="0">
      <alignment horizontal="centerContinuous" vertical="top"/>
    </xf>
    <xf numFmtId="0" fontId="88" fillId="75" borderId="101" applyNumberFormat="0" applyBorder="0">
      <alignment horizontal="left" vertical="center" indent="1"/>
    </xf>
    <xf numFmtId="0" fontId="3" fillId="0" borderId="1" applyNumberFormat="0" applyFill="0" applyAlignment="0" applyProtection="0"/>
    <xf numFmtId="0" fontId="89" fillId="0" borderId="102" applyNumberFormat="0" applyFill="0" applyAlignment="0" applyProtection="0"/>
    <xf numFmtId="0" fontId="5" fillId="0" borderId="3" applyNumberFormat="0" applyFill="0" applyAlignment="0" applyProtection="0"/>
    <xf numFmtId="0" fontId="90" fillId="0" borderId="0" applyNumberFormat="0" applyFill="0" applyBorder="0" applyAlignment="0" applyProtection="0"/>
    <xf numFmtId="0" fontId="91" fillId="62" borderId="99" applyNumberFormat="0" applyAlignment="0" applyProtection="0"/>
    <xf numFmtId="0" fontId="92" fillId="0" borderId="103" applyNumberFormat="0" applyFill="0" applyAlignment="0" applyProtection="0"/>
    <xf numFmtId="41" fontId="53" fillId="0" borderId="0" applyFont="0" applyFill="0" applyBorder="0" applyAlignment="0" applyProtection="0"/>
    <xf numFmtId="43" fontId="53" fillId="0" borderId="0" applyFont="0" applyFill="0" applyBorder="0" applyAlignment="0" applyProtection="0"/>
    <xf numFmtId="42" fontId="53" fillId="0" borderId="0" applyFont="0" applyFill="0" applyBorder="0" applyAlignment="0" applyProtection="0"/>
    <xf numFmtId="44" fontId="53" fillId="0" borderId="0" applyFont="0" applyFill="0" applyBorder="0" applyAlignment="0" applyProtection="0"/>
    <xf numFmtId="0" fontId="93" fillId="82" borderId="0" applyNumberFormat="0" applyBorder="0" applyAlignment="0" applyProtection="0"/>
    <xf numFmtId="0" fontId="94" fillId="80" borderId="0">
      <alignment horizontal="left" indent="1"/>
    </xf>
    <xf numFmtId="0" fontId="53" fillId="0" borderId="0"/>
    <xf numFmtId="0" fontId="53" fillId="0" borderId="0"/>
    <xf numFmtId="0" fontId="53" fillId="83" borderId="104" applyNumberFormat="0" applyFont="0" applyAlignment="0" applyProtection="0"/>
    <xf numFmtId="0" fontId="95" fillId="77" borderId="105" applyNumberFormat="0" applyAlignment="0" applyProtection="0"/>
    <xf numFmtId="9" fontId="20" fillId="0" borderId="0" applyFont="0" applyFill="0" applyBorder="0" applyAlignment="0" applyProtection="0"/>
    <xf numFmtId="0" fontId="96" fillId="76" borderId="0">
      <alignment horizontal="left" indent="1"/>
    </xf>
    <xf numFmtId="4" fontId="97" fillId="84" borderId="106" applyNumberFormat="0" applyProtection="0">
      <alignment vertical="center"/>
    </xf>
    <xf numFmtId="4" fontId="98" fillId="84" borderId="106" applyNumberFormat="0" applyProtection="0">
      <alignment vertical="center"/>
    </xf>
    <xf numFmtId="4" fontId="99" fillId="85" borderId="107" applyNumberFormat="0" applyProtection="0">
      <alignment vertical="center"/>
    </xf>
    <xf numFmtId="4" fontId="100" fillId="85" borderId="107" applyNumberFormat="0" applyProtection="0">
      <alignment vertical="center"/>
    </xf>
    <xf numFmtId="4" fontId="99" fillId="86" borderId="107" applyNumberFormat="0" applyProtection="0">
      <alignment vertical="center"/>
    </xf>
    <xf numFmtId="4" fontId="100" fillId="86" borderId="107" applyNumberFormat="0" applyProtection="0">
      <alignment vertical="center"/>
    </xf>
    <xf numFmtId="4" fontId="101" fillId="84" borderId="106" applyNumberFormat="0" applyProtection="0">
      <alignment horizontal="left" vertical="center" indent="1"/>
    </xf>
    <xf numFmtId="0" fontId="102" fillId="84" borderId="106" applyNumberFormat="0" applyProtection="0">
      <alignment horizontal="left" vertical="top" indent="1"/>
    </xf>
    <xf numFmtId="4" fontId="101" fillId="87" borderId="0" applyNumberFormat="0" applyProtection="0">
      <alignment horizontal="left" vertical="center" indent="1"/>
    </xf>
    <xf numFmtId="4" fontId="101" fillId="86" borderId="106" applyNumberFormat="0" applyProtection="0">
      <alignment horizontal="right" vertical="center"/>
    </xf>
    <xf numFmtId="4" fontId="101" fillId="88" borderId="106" applyNumberFormat="0" applyProtection="0">
      <alignment horizontal="right" vertical="center"/>
    </xf>
    <xf numFmtId="4" fontId="101" fillId="89" borderId="106" applyNumberFormat="0" applyProtection="0">
      <alignment horizontal="right" vertical="center"/>
    </xf>
    <xf numFmtId="4" fontId="101" fillId="90" borderId="106" applyNumberFormat="0" applyProtection="0">
      <alignment horizontal="right" vertical="center"/>
    </xf>
    <xf numFmtId="4" fontId="101" fillId="91" borderId="106" applyNumberFormat="0" applyProtection="0">
      <alignment horizontal="right" vertical="center"/>
    </xf>
    <xf numFmtId="4" fontId="101" fillId="92" borderId="106" applyNumberFormat="0" applyProtection="0">
      <alignment horizontal="right" vertical="center"/>
    </xf>
    <xf numFmtId="4" fontId="101" fillId="93" borderId="106" applyNumberFormat="0" applyProtection="0">
      <alignment horizontal="right" vertical="center"/>
    </xf>
    <xf numFmtId="4" fontId="101" fillId="94" borderId="106" applyNumberFormat="0" applyProtection="0">
      <alignment horizontal="right" vertical="center"/>
    </xf>
    <xf numFmtId="4" fontId="101" fillId="85" borderId="106" applyNumberFormat="0" applyProtection="0">
      <alignment horizontal="right" vertical="center"/>
    </xf>
    <xf numFmtId="4" fontId="97" fillId="95" borderId="108" applyNumberFormat="0" applyProtection="0">
      <alignment horizontal="left" vertical="center" indent="1"/>
    </xf>
    <xf numFmtId="4" fontId="97" fillId="96" borderId="0" applyNumberFormat="0" applyProtection="0">
      <alignment horizontal="left" vertical="center" indent="1"/>
    </xf>
    <xf numFmtId="4" fontId="97" fillId="87" borderId="0" applyNumberFormat="0" applyProtection="0">
      <alignment horizontal="left" vertical="center" indent="1"/>
    </xf>
    <xf numFmtId="4" fontId="101" fillId="96" borderId="106" applyNumberFormat="0" applyProtection="0">
      <alignment horizontal="right" vertical="center"/>
    </xf>
    <xf numFmtId="4" fontId="103" fillId="75" borderId="107" applyNumberFormat="0" applyProtection="0">
      <alignment horizontal="left" vertical="center" indent="1"/>
    </xf>
    <xf numFmtId="4" fontId="104" fillId="96" borderId="0" applyNumberFormat="0" applyProtection="0">
      <alignment horizontal="left" vertical="center" indent="1"/>
    </xf>
    <xf numFmtId="4" fontId="104" fillId="87" borderId="0" applyNumberFormat="0" applyProtection="0">
      <alignment horizontal="left" vertical="center" indent="1"/>
    </xf>
    <xf numFmtId="0" fontId="53" fillId="87" borderId="106" applyNumberFormat="0" applyProtection="0">
      <alignment horizontal="left" vertical="center" indent="1"/>
    </xf>
    <xf numFmtId="0" fontId="53" fillId="87" borderId="106" applyNumberFormat="0" applyProtection="0">
      <alignment horizontal="left" vertical="top" indent="1"/>
    </xf>
    <xf numFmtId="0" fontId="53" fillId="97" borderId="106" applyNumberFormat="0" applyProtection="0">
      <alignment horizontal="left" vertical="center" indent="1"/>
    </xf>
    <xf numFmtId="0" fontId="53" fillId="97" borderId="106" applyNumberFormat="0" applyProtection="0">
      <alignment horizontal="left" vertical="top" indent="1"/>
    </xf>
    <xf numFmtId="0" fontId="53" fillId="96" borderId="106" applyNumberFormat="0" applyProtection="0">
      <alignment horizontal="left" vertical="center" indent="1"/>
    </xf>
    <xf numFmtId="0" fontId="53" fillId="96" borderId="106" applyNumberFormat="0" applyProtection="0">
      <alignment horizontal="left" vertical="top" indent="1"/>
    </xf>
    <xf numFmtId="0" fontId="53" fillId="98" borderId="106" applyNumberFormat="0" applyProtection="0">
      <alignment horizontal="left" vertical="center" indent="1"/>
    </xf>
    <xf numFmtId="0" fontId="53" fillId="98" borderId="106" applyNumberFormat="0" applyProtection="0">
      <alignment horizontal="left" vertical="top" indent="1"/>
    </xf>
    <xf numFmtId="4" fontId="101" fillId="98" borderId="106" applyNumberFormat="0" applyProtection="0">
      <alignment vertical="center"/>
    </xf>
    <xf numFmtId="4" fontId="105" fillId="98" borderId="106" applyNumberFormat="0" applyProtection="0">
      <alignment vertical="center"/>
    </xf>
    <xf numFmtId="4" fontId="106" fillId="85" borderId="107" applyNumberFormat="0" applyProtection="0">
      <alignment vertical="center"/>
    </xf>
    <xf numFmtId="4" fontId="107" fillId="85" borderId="107" applyNumberFormat="0" applyProtection="0">
      <alignment vertical="center"/>
    </xf>
    <xf numFmtId="4" fontId="106" fillId="86" borderId="107" applyNumberFormat="0" applyProtection="0">
      <alignment vertical="center"/>
    </xf>
    <xf numFmtId="4" fontId="107" fillId="86" borderId="107" applyNumberFormat="0" applyProtection="0">
      <alignment vertical="center"/>
    </xf>
    <xf numFmtId="4" fontId="97" fillId="96" borderId="109" applyNumberFormat="0" applyProtection="0">
      <alignment horizontal="left" vertical="center" indent="1"/>
    </xf>
    <xf numFmtId="0" fontId="104" fillId="99" borderId="106" applyNumberFormat="0" applyProtection="0">
      <alignment horizontal="left" vertical="top" indent="1"/>
    </xf>
    <xf numFmtId="4" fontId="101" fillId="98" borderId="106" applyNumberFormat="0" applyProtection="0">
      <alignment horizontal="right" vertical="center"/>
    </xf>
    <xf numFmtId="4" fontId="108" fillId="82" borderId="106" applyNumberFormat="0" applyProtection="0">
      <alignment horizontal="right" vertical="center"/>
    </xf>
    <xf numFmtId="4" fontId="109" fillId="85" borderId="107" applyNumberFormat="0" applyProtection="0">
      <alignment vertical="center"/>
    </xf>
    <xf numFmtId="4" fontId="110" fillId="85" borderId="107" applyNumberFormat="0" applyProtection="0">
      <alignment vertical="center"/>
    </xf>
    <xf numFmtId="4" fontId="109" fillId="86" borderId="107" applyNumberFormat="0" applyProtection="0">
      <alignment vertical="center"/>
    </xf>
    <xf numFmtId="4" fontId="110" fillId="86" borderId="107" applyNumberFormat="0" applyProtection="0">
      <alignment vertical="center"/>
    </xf>
    <xf numFmtId="4" fontId="97" fillId="96" borderId="106" applyNumberFormat="0" applyProtection="0">
      <alignment horizontal="left" vertical="center" indent="1"/>
    </xf>
    <xf numFmtId="0" fontId="104" fillId="97" borderId="106" applyNumberFormat="0" applyProtection="0">
      <alignment horizontal="left" vertical="top" indent="1"/>
    </xf>
    <xf numFmtId="4" fontId="111" fillId="75" borderId="107" applyNumberFormat="0" applyProtection="0">
      <alignment vertical="center"/>
    </xf>
    <xf numFmtId="4" fontId="112" fillId="75" borderId="107" applyNumberFormat="0" applyProtection="0">
      <alignment vertical="center"/>
    </xf>
    <xf numFmtId="4" fontId="99" fillId="85" borderId="107" applyNumberFormat="0" applyProtection="0">
      <alignment vertical="center"/>
    </xf>
    <xf numFmtId="4" fontId="100" fillId="85" borderId="107" applyNumberFormat="0" applyProtection="0">
      <alignment vertical="center"/>
    </xf>
    <xf numFmtId="4" fontId="99" fillId="86" borderId="107" applyNumberFormat="0" applyProtection="0">
      <alignment vertical="center"/>
    </xf>
    <xf numFmtId="4" fontId="100" fillId="86" borderId="107" applyNumberFormat="0" applyProtection="0">
      <alignment vertical="center"/>
    </xf>
    <xf numFmtId="4" fontId="113" fillId="99" borderId="107" applyNumberFormat="0" applyProtection="0">
      <alignment horizontal="left" vertical="center" indent="1"/>
    </xf>
    <xf numFmtId="4" fontId="114" fillId="97" borderId="109" applyNumberFormat="0" applyProtection="0">
      <alignment horizontal="left" vertical="center" indent="1"/>
    </xf>
    <xf numFmtId="4" fontId="115" fillId="98" borderId="106" applyNumberFormat="0" applyProtection="0">
      <alignment horizontal="right" vertical="center"/>
    </xf>
    <xf numFmtId="0" fontId="53" fillId="0" borderId="0"/>
    <xf numFmtId="0" fontId="116" fillId="76" borderId="0" applyBorder="0">
      <alignment horizontal="left" vertical="center" indent="1"/>
    </xf>
    <xf numFmtId="0" fontId="117" fillId="0" borderId="0" applyNumberFormat="0" applyFill="0" applyBorder="0" applyAlignment="0" applyProtection="0"/>
    <xf numFmtId="0" fontId="118" fillId="0" borderId="110" applyNumberFormat="0" applyFill="0" applyAlignment="0" applyProtection="0"/>
    <xf numFmtId="0" fontId="119" fillId="0" borderId="0" applyNumberFormat="0" applyFill="0" applyBorder="0" applyAlignment="0" applyProtection="0"/>
    <xf numFmtId="0" fontId="120" fillId="0" borderId="0"/>
    <xf numFmtId="40" fontId="121" fillId="0" borderId="0" applyFont="0" applyFill="0" applyBorder="0" applyAlignment="0" applyProtection="0"/>
    <xf numFmtId="38" fontId="121" fillId="0" borderId="0" applyFont="0" applyFill="0" applyBorder="0" applyAlignment="0" applyProtection="0"/>
    <xf numFmtId="0" fontId="121" fillId="0" borderId="0"/>
    <xf numFmtId="177" fontId="53" fillId="0" borderId="0" applyFont="0" applyFill="0" applyBorder="0" applyAlignment="0" applyProtection="0"/>
  </cellStyleXfs>
  <cellXfs count="244">
    <xf numFmtId="0" fontId="0" fillId="0" borderId="0" xfId="0"/>
    <xf numFmtId="0" fontId="0" fillId="0" borderId="0" xfId="0" applyAlignment="1">
      <alignment horizontal="center"/>
    </xf>
    <xf numFmtId="0" fontId="0" fillId="0" borderId="14" xfId="0" applyBorder="1" applyAlignment="1">
      <alignment horizontal="center"/>
    </xf>
    <xf numFmtId="0" fontId="0" fillId="0" borderId="14" xfId="0" applyBorder="1"/>
    <xf numFmtId="0" fontId="17" fillId="34" borderId="0" xfId="0" applyFont="1" applyFill="1" applyAlignment="1">
      <alignment horizontal="center"/>
    </xf>
    <xf numFmtId="0" fontId="0" fillId="0" borderId="0" xfId="0" applyFill="1"/>
    <xf numFmtId="0" fontId="19" fillId="0" borderId="0" xfId="0" applyFont="1" applyFill="1" applyBorder="1" applyProtection="1"/>
    <xf numFmtId="0" fontId="0" fillId="0" borderId="19" xfId="0" applyFont="1" applyFill="1" applyBorder="1" applyAlignment="1" applyProtection="1">
      <alignment horizontal="left" vertical="top" wrapText="1"/>
      <protection locked="0"/>
    </xf>
    <xf numFmtId="0" fontId="0" fillId="0" borderId="20" xfId="0" applyFont="1" applyFill="1" applyBorder="1" applyAlignment="1" applyProtection="1">
      <alignment horizontal="left" vertical="top" wrapText="1"/>
      <protection locked="0"/>
    </xf>
    <xf numFmtId="0" fontId="0" fillId="0" borderId="22" xfId="0" applyFont="1" applyFill="1" applyBorder="1" applyAlignment="1" applyProtection="1">
      <alignment horizontal="left" vertical="top" wrapText="1"/>
      <protection locked="0"/>
    </xf>
    <xf numFmtId="0" fontId="0" fillId="0" borderId="21" xfId="0" applyFont="1" applyFill="1" applyBorder="1" applyAlignment="1" applyProtection="1">
      <alignment horizontal="center" vertical="top" wrapText="1"/>
      <protection locked="0"/>
    </xf>
    <xf numFmtId="0" fontId="0" fillId="0" borderId="19" xfId="0" applyFont="1" applyFill="1" applyBorder="1" applyAlignment="1" applyProtection="1">
      <alignment horizontal="center" vertical="top" shrinkToFit="1"/>
      <protection locked="0"/>
    </xf>
    <xf numFmtId="0" fontId="0" fillId="0" borderId="0" xfId="0" applyFont="1"/>
    <xf numFmtId="0" fontId="0" fillId="0" borderId="0" xfId="0" applyFont="1" applyAlignment="1">
      <alignment horizontal="center"/>
    </xf>
    <xf numFmtId="0" fontId="0" fillId="33" borderId="26" xfId="0" applyFill="1" applyBorder="1"/>
    <xf numFmtId="0" fontId="0" fillId="33" borderId="27" xfId="0" applyFont="1" applyFill="1" applyBorder="1"/>
    <xf numFmtId="0" fontId="0" fillId="33" borderId="28" xfId="0" applyFill="1" applyBorder="1"/>
    <xf numFmtId="0" fontId="26" fillId="33" borderId="18" xfId="0" applyFont="1" applyFill="1" applyBorder="1" applyAlignment="1" applyProtection="1">
      <alignment vertical="top"/>
    </xf>
    <xf numFmtId="0" fontId="26" fillId="33" borderId="19" xfId="0" applyFont="1" applyFill="1" applyBorder="1" applyAlignment="1" applyProtection="1">
      <alignment horizontal="center" vertical="top" shrinkToFit="1"/>
      <protection locked="0"/>
    </xf>
    <xf numFmtId="0" fontId="26" fillId="33" borderId="20" xfId="0" applyFont="1" applyFill="1" applyBorder="1" applyAlignment="1" applyProtection="1">
      <alignment horizontal="center" vertical="top" shrinkToFit="1"/>
      <protection locked="0"/>
    </xf>
    <xf numFmtId="0" fontId="25" fillId="43" borderId="0" xfId="0" applyFont="1" applyFill="1" applyBorder="1" applyProtection="1"/>
    <xf numFmtId="0" fontId="26" fillId="44" borderId="18" xfId="0" applyFont="1" applyFill="1" applyBorder="1" applyAlignment="1" applyProtection="1">
      <alignment vertical="top"/>
    </xf>
    <xf numFmtId="0" fontId="26" fillId="44" borderId="19" xfId="0" applyFont="1" applyFill="1" applyBorder="1" applyAlignment="1" applyProtection="1">
      <alignment horizontal="center" vertical="top" shrinkToFit="1"/>
      <protection locked="0"/>
    </xf>
    <xf numFmtId="0" fontId="26" fillId="44" borderId="20" xfId="0" applyFont="1" applyFill="1" applyBorder="1" applyAlignment="1" applyProtection="1">
      <alignment horizontal="center" vertical="top" shrinkToFit="1"/>
      <protection locked="0"/>
    </xf>
    <xf numFmtId="0" fontId="24" fillId="0" borderId="0" xfId="0" applyFont="1" applyFill="1" applyBorder="1" applyAlignment="1">
      <alignment horizontal="center" shrinkToFit="1"/>
    </xf>
    <xf numFmtId="22" fontId="0" fillId="0" borderId="14" xfId="0" applyNumberFormat="1" applyBorder="1"/>
    <xf numFmtId="0" fontId="28" fillId="41" borderId="10" xfId="0" applyFont="1" applyFill="1" applyBorder="1" applyAlignment="1">
      <alignment horizontal="center" shrinkToFit="1"/>
    </xf>
    <xf numFmtId="0" fontId="29" fillId="0" borderId="0" xfId="43" applyFont="1" applyFill="1" applyAlignment="1" applyProtection="1">
      <alignment horizontal="left" vertical="center" wrapText="1"/>
      <protection hidden="1"/>
    </xf>
    <xf numFmtId="0" fontId="31" fillId="40" borderId="39" xfId="43" applyFont="1" applyFill="1" applyBorder="1" applyAlignment="1" applyProtection="1">
      <alignment horizontal="right" vertical="top" wrapText="1"/>
      <protection hidden="1"/>
    </xf>
    <xf numFmtId="0" fontId="31" fillId="40" borderId="41" xfId="43" applyFont="1" applyFill="1" applyBorder="1" applyAlignment="1" applyProtection="1">
      <alignment horizontal="right" vertical="top" wrapText="1"/>
      <protection hidden="1"/>
    </xf>
    <xf numFmtId="0" fontId="29" fillId="40" borderId="42" xfId="43" applyFont="1" applyFill="1" applyBorder="1" applyAlignment="1" applyProtection="1">
      <alignment horizontal="left" vertical="top" wrapText="1"/>
      <protection hidden="1"/>
    </xf>
    <xf numFmtId="0" fontId="29" fillId="40" borderId="39" xfId="43" applyFont="1" applyFill="1" applyBorder="1" applyAlignment="1" applyProtection="1">
      <alignment horizontal="right" wrapText="1"/>
      <protection hidden="1"/>
    </xf>
    <xf numFmtId="0" fontId="29" fillId="40" borderId="41" xfId="43" applyFont="1" applyFill="1" applyBorder="1" applyAlignment="1" applyProtection="1">
      <alignment horizontal="right" wrapText="1"/>
      <protection hidden="1"/>
    </xf>
    <xf numFmtId="0" fontId="34" fillId="40" borderId="42" xfId="44" applyFont="1" applyFill="1" applyBorder="1" applyAlignment="1" applyProtection="1">
      <alignment wrapText="1"/>
      <protection hidden="1"/>
    </xf>
    <xf numFmtId="0" fontId="30" fillId="40" borderId="37" xfId="43" applyFont="1" applyFill="1" applyBorder="1" applyAlignment="1" applyProtection="1">
      <alignment horizontal="left" vertical="center"/>
      <protection hidden="1"/>
    </xf>
    <xf numFmtId="0" fontId="30" fillId="40" borderId="38" xfId="43" applyFont="1" applyFill="1" applyBorder="1" applyAlignment="1" applyProtection="1">
      <alignment horizontal="left" vertical="center"/>
      <protection hidden="1"/>
    </xf>
    <xf numFmtId="0" fontId="29" fillId="40" borderId="39" xfId="43" applyFont="1" applyFill="1" applyBorder="1" applyAlignment="1" applyProtection="1">
      <alignment horizontal="right" vertical="top"/>
      <protection hidden="1"/>
    </xf>
    <xf numFmtId="0" fontId="36" fillId="40" borderId="41" xfId="43" applyFont="1" applyFill="1" applyBorder="1" applyAlignment="1" applyProtection="1">
      <alignment horizontal="right" vertical="top" wrapText="1"/>
      <protection hidden="1"/>
    </xf>
    <xf numFmtId="0" fontId="32" fillId="0" borderId="0" xfId="0" applyFont="1" applyProtection="1">
      <protection hidden="1"/>
    </xf>
    <xf numFmtId="0" fontId="17" fillId="48" borderId="44" xfId="0" applyNumberFormat="1" applyFont="1" applyFill="1" applyBorder="1" applyAlignment="1">
      <alignment horizontal="left" vertical="top"/>
    </xf>
    <xf numFmtId="0" fontId="17" fillId="48" borderId="45" xfId="0" applyNumberFormat="1" applyFont="1" applyFill="1" applyBorder="1" applyAlignment="1">
      <alignment vertical="top"/>
    </xf>
    <xf numFmtId="0" fontId="0" fillId="33" borderId="46" xfId="0" applyNumberFormat="1" applyFill="1" applyBorder="1" applyAlignment="1">
      <alignment vertical="top"/>
    </xf>
    <xf numFmtId="0" fontId="37" fillId="33" borderId="47" xfId="0" applyNumberFormat="1" applyFont="1" applyFill="1" applyBorder="1" applyAlignment="1">
      <alignment horizontal="left" vertical="top"/>
    </xf>
    <xf numFmtId="0" fontId="0" fillId="33" borderId="48" xfId="0" applyNumberFormat="1" applyFill="1" applyBorder="1" applyAlignment="1">
      <alignment vertical="top"/>
    </xf>
    <xf numFmtId="0" fontId="0" fillId="33" borderId="49" xfId="0" applyNumberFormat="1" applyFill="1" applyBorder="1" applyAlignment="1">
      <alignment vertical="top"/>
    </xf>
    <xf numFmtId="0" fontId="0" fillId="33" borderId="51" xfId="0" applyNumberFormat="1" applyFill="1" applyBorder="1" applyAlignment="1">
      <alignment vertical="top"/>
    </xf>
    <xf numFmtId="0" fontId="0" fillId="40" borderId="50" xfId="0" applyNumberFormat="1" applyFont="1" applyFill="1" applyBorder="1" applyAlignment="1">
      <alignment horizontal="left" vertical="top" wrapText="1"/>
    </xf>
    <xf numFmtId="0" fontId="0" fillId="33" borderId="52" xfId="0" applyNumberFormat="1" applyFill="1" applyBorder="1" applyAlignment="1">
      <alignment vertical="top"/>
    </xf>
    <xf numFmtId="0" fontId="37" fillId="33" borderId="53" xfId="0" applyNumberFormat="1" applyFont="1" applyFill="1" applyBorder="1" applyAlignment="1">
      <alignment horizontal="left" vertical="top"/>
    </xf>
    <xf numFmtId="0" fontId="0" fillId="33" borderId="54" xfId="0" applyNumberFormat="1" applyFill="1" applyBorder="1" applyAlignment="1">
      <alignment vertical="top"/>
    </xf>
    <xf numFmtId="0" fontId="0" fillId="0" borderId="0" xfId="0" applyNumberFormat="1" applyAlignment="1">
      <alignment vertical="top"/>
    </xf>
    <xf numFmtId="0" fontId="0" fillId="0" borderId="0" xfId="0" applyNumberFormat="1" applyAlignment="1">
      <alignment horizontal="left" vertical="top"/>
    </xf>
    <xf numFmtId="0" fontId="38" fillId="0" borderId="0" xfId="0" applyNumberFormat="1" applyFont="1" applyAlignment="1">
      <alignment vertical="top"/>
    </xf>
    <xf numFmtId="0" fontId="29" fillId="40" borderId="40" xfId="43" applyFont="1" applyFill="1" applyBorder="1" applyAlignment="1" applyProtection="1">
      <alignment horizontal="left" vertical="top" shrinkToFit="1"/>
      <protection hidden="1"/>
    </xf>
    <xf numFmtId="0" fontId="0" fillId="35" borderId="24" xfId="0" applyFill="1" applyBorder="1"/>
    <xf numFmtId="0" fontId="18" fillId="35" borderId="0" xfId="0" applyFont="1" applyFill="1" applyBorder="1" applyAlignment="1">
      <alignment horizontal="left" vertical="top" indent="1"/>
    </xf>
    <xf numFmtId="0" fontId="0" fillId="35" borderId="0" xfId="0" applyFont="1" applyFill="1" applyBorder="1" applyAlignment="1">
      <alignment horizontal="center"/>
    </xf>
    <xf numFmtId="0" fontId="0" fillId="35" borderId="0" xfId="0" applyFont="1" applyFill="1" applyBorder="1"/>
    <xf numFmtId="22" fontId="0" fillId="35" borderId="0" xfId="0" applyNumberFormat="1" applyFont="1" applyFill="1" applyBorder="1"/>
    <xf numFmtId="14" fontId="0" fillId="35" borderId="25" xfId="0" applyNumberFormat="1" applyFill="1" applyBorder="1"/>
    <xf numFmtId="0" fontId="0" fillId="33" borderId="24" xfId="0" applyFill="1" applyBorder="1"/>
    <xf numFmtId="0" fontId="0" fillId="33" borderId="0" xfId="0" applyFont="1" applyFill="1" applyBorder="1" applyAlignment="1">
      <alignment horizontal="center"/>
    </xf>
    <xf numFmtId="0" fontId="0" fillId="33" borderId="0" xfId="0" applyFont="1" applyFill="1" applyBorder="1"/>
    <xf numFmtId="0" fontId="0" fillId="33" borderId="25" xfId="0" applyFill="1" applyBorder="1"/>
    <xf numFmtId="0" fontId="23" fillId="33" borderId="0" xfId="0" applyFont="1" applyFill="1" applyBorder="1" applyAlignment="1" applyProtection="1">
      <alignment horizontal="left" vertical="top"/>
    </xf>
    <xf numFmtId="0" fontId="39" fillId="0" borderId="0" xfId="42" applyFont="1"/>
    <xf numFmtId="0" fontId="39" fillId="0" borderId="0" xfId="0" applyFont="1"/>
    <xf numFmtId="0" fontId="39" fillId="37" borderId="29" xfId="42" applyFont="1" applyFill="1" applyBorder="1"/>
    <xf numFmtId="0" fontId="39" fillId="37" borderId="29" xfId="42" applyFont="1" applyFill="1" applyBorder="1" applyAlignment="1">
      <alignment horizontal="right"/>
    </xf>
    <xf numFmtId="0" fontId="39" fillId="37" borderId="33" xfId="42" applyFont="1" applyFill="1" applyBorder="1"/>
    <xf numFmtId="0" fontId="39" fillId="37" borderId="33" xfId="42" applyFont="1" applyFill="1" applyBorder="1" applyAlignment="1">
      <alignment horizontal="right"/>
    </xf>
    <xf numFmtId="0" fontId="39" fillId="0" borderId="0" xfId="0" applyFont="1" applyFill="1"/>
    <xf numFmtId="0" fontId="39" fillId="0" borderId="0" xfId="0" applyFont="1" applyFill="1" applyBorder="1"/>
    <xf numFmtId="0" fontId="39" fillId="0" borderId="0" xfId="42" applyFont="1" applyFill="1" applyBorder="1" applyAlignment="1">
      <alignment vertical="center"/>
    </xf>
    <xf numFmtId="0" fontId="43" fillId="0" borderId="0" xfId="42" applyFont="1" applyFill="1" applyBorder="1" applyAlignment="1">
      <alignment horizontal="center" vertical="center"/>
    </xf>
    <xf numFmtId="14" fontId="0" fillId="0" borderId="0" xfId="0" applyNumberFormat="1"/>
    <xf numFmtId="0" fontId="28" fillId="35" borderId="0" xfId="0" applyFont="1" applyFill="1" applyBorder="1" applyAlignment="1">
      <alignment horizontal="left" vertical="center"/>
    </xf>
    <xf numFmtId="0" fontId="0" fillId="50" borderId="57" xfId="0" applyFill="1" applyBorder="1"/>
    <xf numFmtId="0" fontId="0" fillId="50" borderId="58" xfId="0" applyFont="1" applyFill="1" applyBorder="1"/>
    <xf numFmtId="0" fontId="0" fillId="50" borderId="58" xfId="0" applyFill="1" applyBorder="1"/>
    <xf numFmtId="22" fontId="0" fillId="50" borderId="58" xfId="0" applyNumberFormat="1" applyFill="1" applyBorder="1"/>
    <xf numFmtId="14" fontId="0" fillId="50" borderId="59" xfId="0" applyNumberFormat="1" applyFill="1" applyBorder="1"/>
    <xf numFmtId="0" fontId="39" fillId="37" borderId="60" xfId="42" applyFont="1" applyFill="1" applyBorder="1"/>
    <xf numFmtId="0" fontId="39" fillId="37" borderId="61" xfId="42" applyFont="1" applyFill="1" applyBorder="1"/>
    <xf numFmtId="0" fontId="0" fillId="0" borderId="0" xfId="0" applyAlignment="1">
      <alignment wrapText="1"/>
    </xf>
    <xf numFmtId="0" fontId="0" fillId="0" borderId="21" xfId="0" applyFont="1" applyFill="1" applyBorder="1" applyAlignment="1" applyProtection="1">
      <alignment horizontal="left" vertical="top" shrinkToFit="1"/>
      <protection locked="0"/>
    </xf>
    <xf numFmtId="0" fontId="23" fillId="33" borderId="0" xfId="0" applyFont="1" applyFill="1" applyBorder="1" applyAlignment="1" applyProtection="1">
      <alignment horizontal="left" vertical="top" wrapText="1" indent="21"/>
    </xf>
    <xf numFmtId="0" fontId="23" fillId="33" borderId="25" xfId="0" applyFont="1" applyFill="1" applyBorder="1" applyAlignment="1" applyProtection="1">
      <alignment horizontal="left" vertical="top" wrapText="1" indent="21"/>
    </xf>
    <xf numFmtId="0" fontId="23" fillId="33" borderId="24" xfId="0" applyFont="1" applyFill="1" applyBorder="1" applyAlignment="1" applyProtection="1">
      <alignment horizontal="left" vertical="top" indent="3"/>
    </xf>
    <xf numFmtId="0" fontId="23" fillId="33" borderId="64" xfId="0" applyFont="1" applyFill="1" applyBorder="1" applyAlignment="1" applyProtection="1">
      <alignment horizontal="left" vertical="top" wrapText="1" indent="21"/>
    </xf>
    <xf numFmtId="0" fontId="23" fillId="33" borderId="65" xfId="0" applyFont="1" applyFill="1" applyBorder="1" applyAlignment="1" applyProtection="1">
      <alignment horizontal="left" vertical="top" wrapText="1" indent="21"/>
    </xf>
    <xf numFmtId="0" fontId="23" fillId="40" borderId="62" xfId="0" applyFont="1" applyFill="1" applyBorder="1" applyAlignment="1" applyProtection="1">
      <alignment horizontal="left" vertical="top" wrapText="1" indent="21"/>
    </xf>
    <xf numFmtId="0" fontId="23" fillId="40" borderId="0" xfId="0" applyFont="1" applyFill="1" applyBorder="1" applyAlignment="1" applyProtection="1">
      <alignment horizontal="left" vertical="top" wrapText="1" indent="21"/>
    </xf>
    <xf numFmtId="0" fontId="23" fillId="40" borderId="63" xfId="0" applyFont="1" applyFill="1" applyBorder="1" applyAlignment="1" applyProtection="1">
      <alignment horizontal="left" vertical="top" wrapText="1" indent="21"/>
    </xf>
    <xf numFmtId="165" fontId="46" fillId="40" borderId="0" xfId="42" applyNumberFormat="1" applyFont="1" applyFill="1" applyBorder="1" applyAlignment="1">
      <alignment horizontal="center" vertical="center" wrapText="1"/>
    </xf>
    <xf numFmtId="0" fontId="47" fillId="39" borderId="19" xfId="42" applyFont="1" applyFill="1" applyBorder="1" applyAlignment="1">
      <alignment horizontal="center" vertical="center" wrapText="1"/>
    </xf>
    <xf numFmtId="0" fontId="49" fillId="48" borderId="43" xfId="0" applyNumberFormat="1" applyFont="1" applyFill="1" applyBorder="1" applyAlignment="1"/>
    <xf numFmtId="0" fontId="50" fillId="48" borderId="44" xfId="0" applyNumberFormat="1" applyFont="1" applyFill="1" applyBorder="1" applyAlignment="1">
      <alignment horizontal="left" vertical="top"/>
    </xf>
    <xf numFmtId="0" fontId="50" fillId="48" borderId="45" xfId="0" applyNumberFormat="1" applyFont="1" applyFill="1" applyBorder="1" applyAlignment="1">
      <alignment vertical="top"/>
    </xf>
    <xf numFmtId="0" fontId="33" fillId="33" borderId="25" xfId="0" applyFont="1" applyFill="1" applyBorder="1" applyAlignment="1">
      <alignment horizontal="left" indent="1"/>
    </xf>
    <xf numFmtId="0" fontId="51" fillId="0" borderId="0" xfId="0" applyFont="1"/>
    <xf numFmtId="0" fontId="30" fillId="40" borderId="40" xfId="43" applyFont="1" applyFill="1" applyBorder="1" applyAlignment="1" applyProtection="1">
      <alignment horizontal="left" vertical="center" wrapText="1"/>
      <protection hidden="1"/>
    </xf>
    <xf numFmtId="0" fontId="29" fillId="40" borderId="40" xfId="43" applyFont="1" applyFill="1" applyBorder="1" applyAlignment="1" applyProtection="1">
      <alignment horizontal="left" vertical="top" wrapText="1"/>
      <protection hidden="1"/>
    </xf>
    <xf numFmtId="0" fontId="22" fillId="40" borderId="41" xfId="44" applyFill="1" applyBorder="1" applyAlignment="1" applyProtection="1">
      <alignment horizontal="center" vertical="top" shrinkToFit="1"/>
      <protection hidden="1"/>
    </xf>
    <xf numFmtId="0" fontId="22" fillId="40" borderId="42" xfId="44" applyFill="1" applyBorder="1" applyAlignment="1" applyProtection="1">
      <alignment horizontal="center" vertical="top" shrinkToFit="1"/>
      <protection hidden="1"/>
    </xf>
    <xf numFmtId="0" fontId="31" fillId="40" borderId="39" xfId="43" applyFont="1" applyFill="1" applyBorder="1" applyAlignment="1" applyProtection="1">
      <alignment horizontal="left" vertical="top"/>
      <protection hidden="1"/>
    </xf>
    <xf numFmtId="0" fontId="29" fillId="40" borderId="40" xfId="43" applyFont="1" applyFill="1" applyBorder="1" applyAlignment="1" applyProtection="1">
      <alignment horizontal="left" vertical="top"/>
      <protection hidden="1"/>
    </xf>
    <xf numFmtId="0" fontId="29" fillId="40" borderId="39" xfId="43" applyFont="1" applyFill="1" applyBorder="1" applyAlignment="1" applyProtection="1">
      <alignment horizontal="left" vertical="top"/>
      <protection hidden="1"/>
    </xf>
    <xf numFmtId="0" fontId="30" fillId="40" borderId="39" xfId="43" applyFont="1" applyFill="1" applyBorder="1" applyAlignment="1" applyProtection="1">
      <alignment horizontal="left" vertical="center"/>
      <protection hidden="1"/>
    </xf>
    <xf numFmtId="0" fontId="29" fillId="40" borderId="40" xfId="43" applyFont="1" applyFill="1" applyBorder="1" applyAlignment="1" applyProtection="1">
      <alignment horizontal="left" vertical="top" wrapText="1" shrinkToFit="1"/>
      <protection hidden="1"/>
    </xf>
    <xf numFmtId="166" fontId="37" fillId="33" borderId="53" xfId="0" applyNumberFormat="1" applyFont="1" applyFill="1" applyBorder="1" applyAlignment="1">
      <alignment horizontal="left" vertical="top"/>
    </xf>
    <xf numFmtId="167" fontId="0" fillId="0" borderId="0" xfId="0" applyNumberFormat="1" applyFont="1"/>
    <xf numFmtId="167" fontId="0" fillId="0" borderId="0" xfId="0" applyNumberFormat="1"/>
    <xf numFmtId="167" fontId="17" fillId="34" borderId="0" xfId="0" applyNumberFormat="1" applyFont="1" applyFill="1" applyAlignment="1">
      <alignment horizontal="center"/>
    </xf>
    <xf numFmtId="0" fontId="52" fillId="40" borderId="40" xfId="43" quotePrefix="1" applyFont="1" applyFill="1" applyBorder="1" applyAlignment="1" applyProtection="1">
      <alignment wrapText="1"/>
      <protection hidden="1"/>
    </xf>
    <xf numFmtId="0" fontId="28" fillId="35" borderId="24" xfId="0" applyFont="1" applyFill="1" applyBorder="1" applyAlignment="1">
      <alignment horizontal="left" vertical="center" indent="3"/>
    </xf>
    <xf numFmtId="0" fontId="47" fillId="39" borderId="69" xfId="42" applyFont="1" applyFill="1" applyBorder="1" applyAlignment="1">
      <alignment horizontal="center" vertical="center" wrapText="1"/>
    </xf>
    <xf numFmtId="0" fontId="47" fillId="39" borderId="70" xfId="42" applyFont="1" applyFill="1" applyBorder="1" applyAlignment="1">
      <alignment horizontal="center" vertical="center" wrapText="1"/>
    </xf>
    <xf numFmtId="165" fontId="44" fillId="36" borderId="71" xfId="42" applyNumberFormat="1" applyFont="1" applyFill="1" applyBorder="1" applyAlignment="1">
      <alignment horizontal="center" vertical="center" wrapText="1"/>
    </xf>
    <xf numFmtId="165" fontId="44" fillId="36" borderId="72" xfId="42" applyNumberFormat="1" applyFont="1" applyFill="1" applyBorder="1" applyAlignment="1">
      <alignment horizontal="center" vertical="center" wrapText="1"/>
    </xf>
    <xf numFmtId="165" fontId="44" fillId="36" borderId="73" xfId="42" applyNumberFormat="1" applyFont="1" applyFill="1" applyBorder="1" applyAlignment="1">
      <alignment horizontal="center" vertical="center" wrapText="1"/>
    </xf>
    <xf numFmtId="165" fontId="44" fillId="36" borderId="74" xfId="42" applyNumberFormat="1" applyFont="1" applyFill="1" applyBorder="1" applyAlignment="1">
      <alignment horizontal="center" vertical="center" wrapText="1"/>
    </xf>
    <xf numFmtId="165" fontId="44" fillId="36" borderId="75" xfId="42" applyNumberFormat="1" applyFont="1" applyFill="1" applyBorder="1" applyAlignment="1">
      <alignment horizontal="center" vertical="center" wrapText="1"/>
    </xf>
    <xf numFmtId="165" fontId="46" fillId="40" borderId="76" xfId="42" applyNumberFormat="1" applyFont="1" applyFill="1" applyBorder="1" applyAlignment="1">
      <alignment horizontal="center" vertical="center" wrapText="1"/>
    </xf>
    <xf numFmtId="165" fontId="44" fillId="36" borderId="77" xfId="42" applyNumberFormat="1" applyFont="1" applyFill="1" applyBorder="1" applyAlignment="1">
      <alignment horizontal="center" vertical="center" wrapText="1"/>
    </xf>
    <xf numFmtId="14" fontId="40" fillId="0" borderId="78" xfId="42" applyNumberFormat="1" applyFont="1" applyFill="1" applyBorder="1" applyAlignment="1">
      <alignment horizontal="center" vertical="center"/>
    </xf>
    <xf numFmtId="0" fontId="42" fillId="0" borderId="78" xfId="42" applyFont="1" applyFill="1" applyBorder="1" applyAlignment="1">
      <alignment horizontal="center" vertical="center" wrapText="1"/>
    </xf>
    <xf numFmtId="0" fontId="41" fillId="0" borderId="78" xfId="42" applyFont="1" applyFill="1" applyBorder="1" applyAlignment="1">
      <alignment horizontal="center" vertical="center" wrapText="1"/>
    </xf>
    <xf numFmtId="0" fontId="41" fillId="0" borderId="78" xfId="42" applyFont="1" applyFill="1" applyBorder="1" applyAlignment="1">
      <alignment vertical="center" wrapText="1"/>
    </xf>
    <xf numFmtId="0" fontId="43" fillId="0" borderId="78" xfId="42" applyFont="1" applyFill="1" applyBorder="1" applyAlignment="1">
      <alignment horizontal="center" vertical="center"/>
    </xf>
    <xf numFmtId="0" fontId="39" fillId="0" borderId="78" xfId="42" applyFont="1" applyFill="1" applyBorder="1" applyAlignment="1">
      <alignment vertical="center"/>
    </xf>
    <xf numFmtId="14" fontId="40" fillId="0" borderId="79" xfId="42" applyNumberFormat="1" applyFont="1" applyFill="1" applyBorder="1" applyAlignment="1">
      <alignment horizontal="center" vertical="center"/>
    </xf>
    <xf numFmtId="0" fontId="42" fillId="0" borderId="79" xfId="42" applyFont="1" applyFill="1" applyBorder="1" applyAlignment="1">
      <alignment horizontal="center" vertical="center" wrapText="1"/>
    </xf>
    <xf numFmtId="0" fontId="41" fillId="0" borderId="79" xfId="42" applyFont="1" applyFill="1" applyBorder="1" applyAlignment="1">
      <alignment horizontal="center" vertical="center" wrapText="1"/>
    </xf>
    <xf numFmtId="0" fontId="41" fillId="0" borderId="79" xfId="42" applyFont="1" applyFill="1" applyBorder="1" applyAlignment="1">
      <alignment vertical="center" wrapText="1"/>
    </xf>
    <xf numFmtId="0" fontId="18" fillId="50" borderId="58" xfId="0" applyFont="1" applyFill="1" applyBorder="1" applyAlignment="1">
      <alignment horizontal="left" vertical="top"/>
    </xf>
    <xf numFmtId="0" fontId="59" fillId="33" borderId="0" xfId="0" applyFont="1" applyFill="1" applyBorder="1" applyAlignment="1">
      <alignment horizontal="left" vertical="center"/>
    </xf>
    <xf numFmtId="14" fontId="60" fillId="35" borderId="25" xfId="0" applyNumberFormat="1" applyFont="1" applyFill="1" applyBorder="1" applyAlignment="1">
      <alignment horizontal="right" vertical="center" indent="1"/>
    </xf>
    <xf numFmtId="0" fontId="18" fillId="50" borderId="58" xfId="0" applyFont="1" applyFill="1" applyBorder="1" applyAlignment="1">
      <alignment horizontal="left" vertical="top" indent="1"/>
    </xf>
    <xf numFmtId="0" fontId="61" fillId="0" borderId="14" xfId="0" applyFont="1" applyBorder="1"/>
    <xf numFmtId="0" fontId="48" fillId="48" borderId="44" xfId="0" applyNumberFormat="1" applyFont="1" applyFill="1" applyBorder="1" applyAlignment="1">
      <alignment horizontal="left" vertical="top"/>
    </xf>
    <xf numFmtId="0" fontId="26" fillId="33" borderId="0" xfId="0" applyNumberFormat="1" applyFont="1" applyFill="1" applyBorder="1" applyAlignment="1">
      <alignment horizontal="left" vertical="top"/>
    </xf>
    <xf numFmtId="0" fontId="0" fillId="0" borderId="0" xfId="0" applyAlignment="1">
      <alignment horizontal="left"/>
    </xf>
    <xf numFmtId="14" fontId="61" fillId="0" borderId="14" xfId="0" applyNumberFormat="1" applyFont="1" applyBorder="1" applyAlignment="1" applyProtection="1">
      <alignment horizontal="right"/>
    </xf>
    <xf numFmtId="0" fontId="56" fillId="0" borderId="0" xfId="0" applyFont="1"/>
    <xf numFmtId="0" fontId="64" fillId="40" borderId="40" xfId="44" applyFont="1" applyFill="1" applyBorder="1" applyAlignment="1" applyProtection="1">
      <alignment wrapText="1"/>
      <protection hidden="1"/>
    </xf>
    <xf numFmtId="0" fontId="67" fillId="52" borderId="82" xfId="0" applyFont="1" applyFill="1" applyBorder="1" applyAlignment="1">
      <alignment horizontal="left"/>
    </xf>
    <xf numFmtId="0" fontId="67" fillId="52" borderId="83" xfId="0" applyFont="1" applyFill="1" applyBorder="1" applyAlignment="1">
      <alignment horizontal="left"/>
    </xf>
    <xf numFmtId="0" fontId="67" fillId="52" borderId="84" xfId="0" applyFont="1" applyFill="1" applyBorder="1" applyAlignment="1">
      <alignment horizontal="left"/>
    </xf>
    <xf numFmtId="0" fontId="0" fillId="51" borderId="80" xfId="0" applyFill="1" applyBorder="1" applyProtection="1"/>
    <xf numFmtId="0" fontId="0" fillId="51" borderId="0" xfId="0" applyFill="1" applyBorder="1" applyAlignment="1" applyProtection="1">
      <alignment horizontal="center"/>
    </xf>
    <xf numFmtId="0" fontId="0" fillId="51" borderId="0" xfId="0" applyFill="1" applyBorder="1" applyProtection="1"/>
    <xf numFmtId="0" fontId="0" fillId="51" borderId="81" xfId="0" applyFill="1" applyBorder="1" applyProtection="1"/>
    <xf numFmtId="0" fontId="0" fillId="0" borderId="0" xfId="0" applyProtection="1"/>
    <xf numFmtId="167" fontId="0" fillId="0" borderId="0" xfId="0" applyNumberFormat="1" applyProtection="1"/>
    <xf numFmtId="0" fontId="16" fillId="51" borderId="80" xfId="0" applyFont="1" applyFill="1" applyBorder="1" applyProtection="1"/>
    <xf numFmtId="0" fontId="0" fillId="53" borderId="85" xfId="0" applyFill="1" applyBorder="1" applyProtection="1"/>
    <xf numFmtId="0" fontId="0" fillId="53" borderId="85" xfId="0" applyFill="1" applyBorder="1" applyAlignment="1" applyProtection="1">
      <alignment shrinkToFit="1"/>
    </xf>
    <xf numFmtId="22" fontId="0" fillId="53" borderId="86" xfId="0" applyNumberFormat="1" applyFill="1" applyBorder="1" applyProtection="1"/>
    <xf numFmtId="0" fontId="0" fillId="53" borderId="85" xfId="0" applyFill="1" applyBorder="1" applyAlignment="1" applyProtection="1">
      <alignment wrapText="1"/>
    </xf>
    <xf numFmtId="22" fontId="0" fillId="53" borderId="85" xfId="0" applyNumberFormat="1" applyFill="1" applyBorder="1" applyProtection="1"/>
    <xf numFmtId="0" fontId="0" fillId="51" borderId="80" xfId="0" applyFill="1" applyBorder="1"/>
    <xf numFmtId="0" fontId="0" fillId="51" borderId="0" xfId="0" applyFill="1" applyBorder="1" applyAlignment="1">
      <alignment horizontal="center"/>
    </xf>
    <xf numFmtId="0" fontId="0" fillId="51" borderId="81" xfId="0" applyFill="1" applyBorder="1"/>
    <xf numFmtId="0" fontId="0" fillId="51" borderId="89" xfId="0" applyFill="1" applyBorder="1"/>
    <xf numFmtId="0" fontId="0" fillId="51" borderId="90" xfId="0" applyFill="1" applyBorder="1" applyAlignment="1">
      <alignment horizontal="center"/>
    </xf>
    <xf numFmtId="0" fontId="0" fillId="51" borderId="90" xfId="0" applyFill="1" applyBorder="1"/>
    <xf numFmtId="0" fontId="0" fillId="51" borderId="91" xfId="0" applyFill="1" applyBorder="1"/>
    <xf numFmtId="0" fontId="68" fillId="54" borderId="82" xfId="0" applyFont="1" applyFill="1" applyBorder="1" applyAlignment="1" applyProtection="1">
      <alignment horizontal="center"/>
    </xf>
    <xf numFmtId="0" fontId="68" fillId="54" borderId="84" xfId="0" applyFont="1" applyFill="1" applyBorder="1" applyAlignment="1" applyProtection="1">
      <alignment horizontal="center"/>
    </xf>
    <xf numFmtId="0" fontId="68" fillId="54" borderId="87" xfId="0" applyFont="1" applyFill="1" applyBorder="1" applyAlignment="1" applyProtection="1">
      <alignment horizontal="center"/>
    </xf>
    <xf numFmtId="0" fontId="68" fillId="51" borderId="0" xfId="0" applyFont="1" applyFill="1" applyBorder="1" applyAlignment="1" applyProtection="1">
      <alignment horizontal="center"/>
    </xf>
    <xf numFmtId="0" fontId="68" fillId="54" borderId="88" xfId="0" applyFont="1" applyFill="1" applyBorder="1" applyAlignment="1" applyProtection="1">
      <alignment horizontal="center"/>
    </xf>
    <xf numFmtId="0" fontId="0" fillId="53" borderId="92" xfId="0" applyFill="1" applyBorder="1" applyProtection="1"/>
    <xf numFmtId="0" fontId="0" fillId="53" borderId="92" xfId="0" applyFill="1" applyBorder="1" applyAlignment="1" applyProtection="1">
      <alignment horizontal="center"/>
    </xf>
    <xf numFmtId="0" fontId="0" fillId="53" borderId="85" xfId="0" applyFill="1" applyBorder="1" applyAlignment="1" applyProtection="1">
      <alignment horizontal="center"/>
    </xf>
    <xf numFmtId="22" fontId="0" fillId="0" borderId="0" xfId="0" applyNumberFormat="1"/>
    <xf numFmtId="22" fontId="0" fillId="51" borderId="81" xfId="0" applyNumberFormat="1" applyFill="1" applyBorder="1" applyProtection="1"/>
    <xf numFmtId="14" fontId="0" fillId="53" borderId="85" xfId="0" applyNumberFormat="1" applyFill="1" applyBorder="1" applyProtection="1"/>
    <xf numFmtId="0" fontId="0" fillId="0" borderId="85" xfId="0" applyFill="1" applyBorder="1" applyAlignment="1" applyProtection="1">
      <alignment horizontal="center"/>
    </xf>
    <xf numFmtId="0" fontId="0" fillId="0" borderId="85" xfId="0" applyFill="1" applyBorder="1" applyProtection="1"/>
    <xf numFmtId="0" fontId="69" fillId="40" borderId="50" xfId="0" applyNumberFormat="1" applyFont="1" applyFill="1" applyBorder="1" applyAlignment="1">
      <alignment horizontal="left" vertical="top" wrapText="1"/>
    </xf>
    <xf numFmtId="0" fontId="70" fillId="40" borderId="50" xfId="0" applyNumberFormat="1" applyFont="1" applyFill="1" applyBorder="1" applyAlignment="1">
      <alignment horizontal="left" vertical="top" wrapText="1"/>
    </xf>
    <xf numFmtId="49" fontId="5" fillId="33" borderId="51" xfId="0" applyNumberFormat="1" applyFont="1" applyFill="1" applyBorder="1" applyAlignment="1">
      <alignment horizontal="right" vertical="center"/>
    </xf>
    <xf numFmtId="0" fontId="5" fillId="33" borderId="0" xfId="0" applyNumberFormat="1" applyFont="1" applyFill="1" applyBorder="1" applyAlignment="1">
      <alignment horizontal="right" vertical="center"/>
    </xf>
    <xf numFmtId="0" fontId="5" fillId="33" borderId="51" xfId="0" applyNumberFormat="1" applyFont="1" applyFill="1" applyBorder="1" applyAlignment="1">
      <alignment horizontal="right" vertical="center"/>
    </xf>
    <xf numFmtId="0" fontId="30" fillId="40" borderId="40" xfId="43" applyFont="1" applyFill="1" applyBorder="1" applyAlignment="1" applyProtection="1">
      <alignment horizontal="right" vertical="center"/>
      <protection hidden="1"/>
    </xf>
    <xf numFmtId="0" fontId="26" fillId="33" borderId="47" xfId="0" applyNumberFormat="1" applyFont="1" applyFill="1" applyBorder="1" applyAlignment="1">
      <alignment horizontal="left" vertical="top" wrapText="1"/>
    </xf>
    <xf numFmtId="0" fontId="26" fillId="33" borderId="0" xfId="0" applyNumberFormat="1" applyFont="1" applyFill="1" applyBorder="1" applyAlignment="1">
      <alignment horizontal="left" vertical="top" wrapText="1"/>
    </xf>
    <xf numFmtId="0" fontId="26" fillId="33" borderId="53" xfId="0" applyNumberFormat="1" applyFont="1" applyFill="1" applyBorder="1" applyAlignment="1">
      <alignment horizontal="left" vertical="top" wrapText="1"/>
    </xf>
    <xf numFmtId="0" fontId="0" fillId="0" borderId="0" xfId="0" applyFont="1" applyAlignment="1"/>
    <xf numFmtId="174" fontId="0" fillId="0" borderId="20" xfId="0" applyNumberFormat="1" applyFont="1" applyFill="1" applyBorder="1" applyAlignment="1" applyProtection="1">
      <alignment horizontal="center" vertical="top" shrinkToFit="1"/>
      <protection locked="0"/>
    </xf>
    <xf numFmtId="174" fontId="26" fillId="33" borderId="23" xfId="0" applyNumberFormat="1" applyFont="1" applyFill="1" applyBorder="1" applyAlignment="1" applyProtection="1">
      <alignment horizontal="center" vertical="top" shrinkToFit="1"/>
    </xf>
    <xf numFmtId="174" fontId="26" fillId="33" borderId="22" xfId="0" applyNumberFormat="1" applyFont="1" applyFill="1" applyBorder="1" applyAlignment="1" applyProtection="1">
      <alignment horizontal="center" vertical="top" shrinkToFit="1"/>
    </xf>
    <xf numFmtId="174" fontId="69" fillId="40" borderId="50" xfId="0" applyNumberFormat="1" applyFont="1" applyFill="1" applyBorder="1" applyAlignment="1">
      <alignment horizontal="left" vertical="top" wrapText="1"/>
    </xf>
    <xf numFmtId="174" fontId="26" fillId="44" borderId="22" xfId="0" applyNumberFormat="1" applyFont="1" applyFill="1" applyBorder="1" applyAlignment="1" applyProtection="1">
      <alignment horizontal="center" vertical="top" shrinkToFit="1"/>
    </xf>
    <xf numFmtId="174" fontId="26" fillId="44" borderId="23" xfId="0" applyNumberFormat="1" applyFont="1" applyFill="1" applyBorder="1" applyAlignment="1" applyProtection="1">
      <alignment horizontal="center" vertical="top" shrinkToFit="1"/>
    </xf>
    <xf numFmtId="22" fontId="28" fillId="41" borderId="10" xfId="0" applyNumberFormat="1" applyFont="1" applyFill="1" applyBorder="1" applyAlignment="1">
      <alignment horizontal="center" shrinkToFit="1"/>
    </xf>
    <xf numFmtId="0" fontId="23" fillId="47" borderId="10" xfId="0" applyFont="1" applyFill="1" applyBorder="1" applyAlignment="1">
      <alignment horizontal="center" shrinkToFit="1"/>
    </xf>
    <xf numFmtId="0" fontId="122" fillId="0" borderId="19" xfId="0" applyFont="1" applyFill="1" applyBorder="1" applyAlignment="1" applyProtection="1">
      <alignment horizontal="left" vertical="top" wrapText="1"/>
      <protection locked="0"/>
    </xf>
    <xf numFmtId="0" fontId="0" fillId="0" borderId="22" xfId="0" applyFill="1" applyBorder="1" applyAlignment="1" applyProtection="1">
      <alignment horizontal="left" vertical="top" wrapText="1"/>
      <protection locked="0"/>
    </xf>
    <xf numFmtId="0" fontId="25" fillId="45" borderId="15" xfId="0" applyFont="1" applyFill="1" applyBorder="1" applyProtection="1">
      <protection locked="0"/>
    </xf>
    <xf numFmtId="0" fontId="25" fillId="45" borderId="16" xfId="0" applyFont="1" applyFill="1" applyBorder="1" applyProtection="1">
      <protection locked="0"/>
    </xf>
    <xf numFmtId="0" fontId="25" fillId="45" borderId="17" xfId="0" applyFont="1" applyFill="1" applyBorder="1" applyProtection="1">
      <protection locked="0"/>
    </xf>
    <xf numFmtId="0" fontId="25" fillId="42" borderId="15" xfId="0" applyFont="1" applyFill="1" applyBorder="1" applyProtection="1">
      <protection locked="0"/>
    </xf>
    <xf numFmtId="0" fontId="25" fillId="42" borderId="16" xfId="0" applyFont="1" applyFill="1" applyBorder="1" applyProtection="1">
      <protection locked="0"/>
    </xf>
    <xf numFmtId="0" fontId="25" fillId="42" borderId="17" xfId="0" applyFont="1" applyFill="1" applyBorder="1" applyProtection="1">
      <protection locked="0"/>
    </xf>
    <xf numFmtId="0" fontId="25" fillId="46" borderId="15" xfId="0" applyFont="1" applyFill="1" applyBorder="1" applyProtection="1">
      <protection locked="0"/>
    </xf>
    <xf numFmtId="0" fontId="25" fillId="46" borderId="16" xfId="0" applyFont="1" applyFill="1" applyBorder="1" applyProtection="1">
      <protection locked="0"/>
    </xf>
    <xf numFmtId="0" fontId="25" fillId="46" borderId="17" xfId="0" applyFont="1" applyFill="1" applyBorder="1" applyProtection="1">
      <protection locked="0"/>
    </xf>
    <xf numFmtId="0" fontId="28" fillId="41" borderId="11" xfId="0" applyFont="1" applyFill="1" applyBorder="1" applyAlignment="1">
      <alignment horizontal="center" shrinkToFit="1"/>
    </xf>
    <xf numFmtId="0" fontId="28" fillId="41" borderId="12" xfId="0" applyFont="1" applyFill="1" applyBorder="1" applyAlignment="1">
      <alignment horizontal="center" shrinkToFit="1"/>
    </xf>
    <xf numFmtId="0" fontId="28" fillId="41" borderId="13" xfId="0" applyFont="1" applyFill="1" applyBorder="1" applyAlignment="1">
      <alignment horizontal="center" shrinkToFit="1"/>
    </xf>
    <xf numFmtId="0" fontId="23" fillId="33" borderId="24" xfId="0" applyFont="1" applyFill="1" applyBorder="1" applyAlignment="1" applyProtection="1">
      <alignment horizontal="left" vertical="top" wrapText="1" indent="20"/>
    </xf>
    <xf numFmtId="0" fontId="28" fillId="33" borderId="0" xfId="0" applyFont="1" applyFill="1" applyBorder="1" applyAlignment="1" applyProtection="1">
      <alignment horizontal="left" vertical="top" wrapText="1" indent="20"/>
    </xf>
    <xf numFmtId="0" fontId="28" fillId="33" borderId="25" xfId="0" applyFont="1" applyFill="1" applyBorder="1" applyAlignment="1" applyProtection="1">
      <alignment horizontal="left" vertical="top" wrapText="1" indent="20"/>
    </xf>
    <xf numFmtId="0" fontId="33" fillId="33" borderId="24" xfId="0" applyFont="1" applyFill="1" applyBorder="1" applyAlignment="1">
      <alignment horizontal="left" vertical="top" wrapText="1" indent="1" shrinkToFit="1"/>
    </xf>
    <xf numFmtId="0" fontId="33" fillId="33" borderId="0" xfId="0" applyFont="1" applyFill="1" applyBorder="1" applyAlignment="1">
      <alignment horizontal="left" vertical="top" wrapText="1" indent="1" shrinkToFit="1"/>
    </xf>
    <xf numFmtId="0" fontId="33" fillId="33" borderId="0" xfId="0" applyFont="1" applyFill="1" applyBorder="1" applyAlignment="1">
      <alignment horizontal="left" vertical="top" indent="1" shrinkToFit="1"/>
    </xf>
    <xf numFmtId="0" fontId="23" fillId="33" borderId="24" xfId="0" applyFont="1" applyFill="1" applyBorder="1" applyAlignment="1">
      <alignment horizontal="left" vertical="top" wrapText="1" indent="1" shrinkToFit="1"/>
    </xf>
    <xf numFmtId="0" fontId="28" fillId="33" borderId="0" xfId="0" applyFont="1" applyFill="1" applyBorder="1" applyAlignment="1">
      <alignment horizontal="left" vertical="top" indent="1" shrinkToFit="1"/>
    </xf>
    <xf numFmtId="164" fontId="45" fillId="49" borderId="66" xfId="42" applyNumberFormat="1" applyFont="1" applyFill="1" applyBorder="1" applyAlignment="1">
      <alignment horizontal="center" vertical="center"/>
    </xf>
    <xf numFmtId="164" fontId="45" fillId="49" borderId="67" xfId="42" applyNumberFormat="1" applyFont="1" applyFill="1" applyBorder="1" applyAlignment="1">
      <alignment horizontal="center" vertical="center"/>
    </xf>
    <xf numFmtId="164" fontId="45" fillId="49" borderId="68" xfId="42" applyNumberFormat="1" applyFont="1" applyFill="1" applyBorder="1" applyAlignment="1">
      <alignment horizontal="center" vertical="center"/>
    </xf>
    <xf numFmtId="14" fontId="39" fillId="0" borderId="30" xfId="42" applyNumberFormat="1" applyFont="1" applyBorder="1" applyAlignment="1">
      <alignment horizontal="left"/>
    </xf>
    <xf numFmtId="14" fontId="39" fillId="0" borderId="31" xfId="42" applyNumberFormat="1" applyFont="1" applyBorder="1" applyAlignment="1">
      <alignment horizontal="left"/>
    </xf>
    <xf numFmtId="14" fontId="39" fillId="0" borderId="32" xfId="42" applyNumberFormat="1" applyFont="1" applyBorder="1" applyAlignment="1">
      <alignment horizontal="left"/>
    </xf>
    <xf numFmtId="0" fontId="39" fillId="0" borderId="34" xfId="42" applyFont="1" applyBorder="1" applyAlignment="1" applyProtection="1">
      <alignment horizontal="left"/>
      <protection locked="0"/>
    </xf>
    <xf numFmtId="0" fontId="39" fillId="0" borderId="35" xfId="42" applyFont="1" applyBorder="1" applyAlignment="1" applyProtection="1">
      <alignment horizontal="left"/>
      <protection locked="0"/>
    </xf>
    <xf numFmtId="0" fontId="39" fillId="0" borderId="36" xfId="42" applyFont="1" applyBorder="1" applyAlignment="1" applyProtection="1">
      <alignment horizontal="left"/>
      <protection locked="0"/>
    </xf>
    <xf numFmtId="0" fontId="29" fillId="0" borderId="0" xfId="43" applyFont="1" applyFill="1" applyAlignment="1" applyProtection="1">
      <alignment horizontal="center" vertical="top" shrinkToFit="1"/>
      <protection hidden="1"/>
    </xf>
    <xf numFmtId="0" fontId="29" fillId="0" borderId="0" xfId="43" applyFont="1" applyFill="1" applyBorder="1" applyAlignment="1" applyProtection="1">
      <alignment horizontal="center" vertical="top"/>
      <protection hidden="1"/>
    </xf>
    <xf numFmtId="0" fontId="30" fillId="40" borderId="37" xfId="43" applyNumberFormat="1" applyFont="1" applyFill="1" applyBorder="1" applyAlignment="1" applyProtection="1">
      <alignment horizontal="left" vertical="center" wrapText="1"/>
      <protection hidden="1"/>
    </xf>
    <xf numFmtId="0" fontId="35" fillId="40" borderId="38" xfId="43" applyNumberFormat="1" applyFont="1" applyFill="1" applyBorder="1" applyProtection="1">
      <protection hidden="1"/>
    </xf>
    <xf numFmtId="164" fontId="65" fillId="38" borderId="55" xfId="42" applyNumberFormat="1" applyFont="1" applyFill="1" applyBorder="1" applyAlignment="1" applyProtection="1">
      <alignment horizontal="center" vertical="center"/>
      <protection hidden="1"/>
    </xf>
    <xf numFmtId="164" fontId="65" fillId="38" borderId="56" xfId="42" applyNumberFormat="1" applyFont="1" applyFill="1" applyBorder="1" applyAlignment="1" applyProtection="1">
      <alignment horizontal="center" vertical="center"/>
      <protection hidden="1"/>
    </xf>
    <xf numFmtId="164" fontId="65" fillId="38" borderId="37" xfId="42" applyNumberFormat="1" applyFont="1" applyFill="1" applyBorder="1" applyAlignment="1" applyProtection="1">
      <alignment horizontal="center" vertical="center" shrinkToFit="1"/>
      <protection hidden="1"/>
    </xf>
    <xf numFmtId="164" fontId="65" fillId="38" borderId="38" xfId="42" applyNumberFormat="1" applyFont="1" applyFill="1" applyBorder="1" applyAlignment="1" applyProtection="1">
      <alignment horizontal="center" vertical="center" shrinkToFit="1"/>
      <protection hidden="1"/>
    </xf>
    <xf numFmtId="164" fontId="65" fillId="38" borderId="37" xfId="42" applyNumberFormat="1" applyFont="1" applyFill="1" applyBorder="1" applyAlignment="1" applyProtection="1">
      <alignment horizontal="center" vertical="center"/>
      <protection hidden="1"/>
    </xf>
    <xf numFmtId="164" fontId="65" fillId="38" borderId="38" xfId="42" applyNumberFormat="1" applyFont="1" applyFill="1" applyBorder="1" applyAlignment="1" applyProtection="1">
      <alignment horizontal="center" vertical="center"/>
      <protection hidden="1"/>
    </xf>
    <xf numFmtId="164" fontId="66" fillId="38" borderId="37" xfId="42" applyNumberFormat="1" applyFont="1" applyFill="1" applyBorder="1" applyAlignment="1" applyProtection="1">
      <alignment horizontal="center" vertical="center"/>
      <protection hidden="1"/>
    </xf>
    <xf numFmtId="164" fontId="66" fillId="38" borderId="38" xfId="42" applyNumberFormat="1" applyFont="1" applyFill="1" applyBorder="1" applyAlignment="1" applyProtection="1">
      <alignment horizontal="center" vertical="center"/>
      <protection hidden="1"/>
    </xf>
    <xf numFmtId="0" fontId="32" fillId="40" borderId="39" xfId="0" applyFont="1" applyFill="1" applyBorder="1" applyAlignment="1" applyProtection="1">
      <alignment horizontal="left" vertical="top" wrapText="1"/>
      <protection hidden="1"/>
    </xf>
    <xf numFmtId="0" fontId="32" fillId="40" borderId="40" xfId="0" applyFont="1" applyFill="1" applyBorder="1" applyAlignment="1" applyProtection="1">
      <alignment horizontal="left" vertical="top" wrapText="1"/>
      <protection hidden="1"/>
    </xf>
  </cellXfs>
  <cellStyles count="227">
    <cellStyle name="^ISTHeader" xfId="49"/>
    <cellStyle name="^ITVDate" xfId="50"/>
    <cellStyle name="^ITVDate 2" xfId="51"/>
    <cellStyle name="^ITVDate 2 2" xfId="52"/>
    <cellStyle name="^ITVDate 2 3" xfId="53"/>
    <cellStyle name="^ITVDate 3" xfId="54"/>
    <cellStyle name="^ITVDate 4" xfId="55"/>
    <cellStyle name="^ITVDollar" xfId="56"/>
    <cellStyle name="^ITVDollar 2" xfId="57"/>
    <cellStyle name="^ITVDollar 3" xfId="58"/>
    <cellStyle name="^ITVGen" xfId="59"/>
    <cellStyle name="^ITVGen 2" xfId="60"/>
    <cellStyle name="^ITVGen 3" xfId="61"/>
    <cellStyle name="^ITVGen.0" xfId="62"/>
    <cellStyle name="^ITVGen.0 2" xfId="63"/>
    <cellStyle name="^ITVGen.0 3" xfId="64"/>
    <cellStyle name="^ITVPercent" xfId="65"/>
    <cellStyle name="^ITVPercent 2" xfId="66"/>
    <cellStyle name="^ITVPercent 3" xfId="67"/>
    <cellStyle name="^STable" xfId="68"/>
    <cellStyle name="^uiDate" xfId="69"/>
    <cellStyle name="0,0_x000d__x000a_NA_x000d__x000a_" xfId="89"/>
    <cellStyle name="20% - Accent1" xfId="19" builtinId="30" customBuiltin="1"/>
    <cellStyle name="20% - Accent1 2" xfId="90"/>
    <cellStyle name="20% - Accent2" xfId="23" builtinId="34" customBuiltin="1"/>
    <cellStyle name="20% - Accent2 2" xfId="91"/>
    <cellStyle name="20% - Accent3" xfId="27" builtinId="38" customBuiltin="1"/>
    <cellStyle name="20% - Accent3 2" xfId="92"/>
    <cellStyle name="20% - Accent4" xfId="31" builtinId="42" customBuiltin="1"/>
    <cellStyle name="20% - Accent4 2" xfId="93"/>
    <cellStyle name="20% - Accent5" xfId="35" builtinId="46" customBuiltin="1"/>
    <cellStyle name="20% - Accent5 2" xfId="94"/>
    <cellStyle name="20% - Accent6" xfId="39" builtinId="50" customBuiltin="1"/>
    <cellStyle name="20% - Accent6 2" xfId="95"/>
    <cellStyle name="40% - Accent1" xfId="20" builtinId="31" customBuiltin="1"/>
    <cellStyle name="40% - Accent1 2" xfId="96"/>
    <cellStyle name="40% - Accent2" xfId="24" builtinId="35" customBuiltin="1"/>
    <cellStyle name="40% - Accent2 2" xfId="97"/>
    <cellStyle name="40% - Accent3" xfId="28" builtinId="39" customBuiltin="1"/>
    <cellStyle name="40% - Accent3 2" xfId="98"/>
    <cellStyle name="40% - Accent4" xfId="32" builtinId="43" customBuiltin="1"/>
    <cellStyle name="40% - Accent4 2" xfId="99"/>
    <cellStyle name="40% - Accent5" xfId="36" builtinId="47" customBuiltin="1"/>
    <cellStyle name="40% - Accent5 2" xfId="100"/>
    <cellStyle name="40% - Accent6" xfId="40" builtinId="51" customBuiltin="1"/>
    <cellStyle name="40% - Accent6 2" xfId="101"/>
    <cellStyle name="60% - Accent1" xfId="21" builtinId="32" customBuiltin="1"/>
    <cellStyle name="60% - Accent1 2" xfId="102"/>
    <cellStyle name="60% - Accent2" xfId="25" builtinId="36" customBuiltin="1"/>
    <cellStyle name="60% - Accent2 2" xfId="103"/>
    <cellStyle name="60% - Accent3" xfId="29" builtinId="40" customBuiltin="1"/>
    <cellStyle name="60% - Accent3 2" xfId="104"/>
    <cellStyle name="60% - Accent4" xfId="33" builtinId="44" customBuiltin="1"/>
    <cellStyle name="60% - Accent4 2" xfId="105"/>
    <cellStyle name="60% - Accent5" xfId="37" builtinId="48" customBuiltin="1"/>
    <cellStyle name="60% - Accent5 2" xfId="106"/>
    <cellStyle name="60% - Accent6" xfId="41" builtinId="52" customBuiltin="1"/>
    <cellStyle name="60% - Accent6 2" xfId="107"/>
    <cellStyle name="Accent1" xfId="18" builtinId="29" customBuiltin="1"/>
    <cellStyle name="Accent1 2" xfId="108"/>
    <cellStyle name="Accent2" xfId="22" builtinId="33" customBuiltin="1"/>
    <cellStyle name="Accent2 2" xfId="109"/>
    <cellStyle name="Accent3" xfId="26" builtinId="37" customBuiltin="1"/>
    <cellStyle name="Accent3 2" xfId="110"/>
    <cellStyle name="Accent4" xfId="30" builtinId="41" customBuiltin="1"/>
    <cellStyle name="Accent4 2" xfId="111"/>
    <cellStyle name="Accent5" xfId="34" builtinId="45" customBuiltin="1"/>
    <cellStyle name="Accent5 2" xfId="112"/>
    <cellStyle name="Accent6" xfId="38" builtinId="49" customBuiltin="1"/>
    <cellStyle name="Accent6 2" xfId="113"/>
    <cellStyle name="amount" xfId="114"/>
    <cellStyle name="Bad" xfId="7" builtinId="27" customBuiltin="1"/>
    <cellStyle name="Bad 2" xfId="115"/>
    <cellStyle name="Body text" xfId="116"/>
    <cellStyle name="Calculation" xfId="11" builtinId="22" customBuiltin="1"/>
    <cellStyle name="Calculation 2" xfId="117"/>
    <cellStyle name="Check Cell" xfId="13" builtinId="23" customBuiltin="1"/>
    <cellStyle name="Check Cell 2" xfId="118"/>
    <cellStyle name="Comma 2" xfId="70"/>
    <cellStyle name="Comma 2 2" xfId="71"/>
    <cellStyle name="Comma 2 3" xfId="72"/>
    <cellStyle name="Comma 2 3 2" xfId="119"/>
    <cellStyle name="Comma 2 4" xfId="73"/>
    <cellStyle name="Comma 3" xfId="120"/>
    <cellStyle name="Comma 3 2" xfId="121"/>
    <cellStyle name="Comma 4" xfId="122"/>
    <cellStyle name="Comma 4 2" xfId="123"/>
    <cellStyle name="Comma 5" xfId="124"/>
    <cellStyle name="Currency 2" xfId="125"/>
    <cellStyle name="Currency 2 2" xfId="126"/>
    <cellStyle name="Currency 2 3" xfId="127"/>
    <cellStyle name="Currency 3" xfId="47"/>
    <cellStyle name="Currency 3 2" xfId="128"/>
    <cellStyle name="Currency 4" xfId="129"/>
    <cellStyle name="Currency 4 2" xfId="130"/>
    <cellStyle name="Currency 5" xfId="131"/>
    <cellStyle name="Explanatory Text" xfId="16" builtinId="53" customBuiltin="1"/>
    <cellStyle name="Explanatory Text 2" xfId="132"/>
    <cellStyle name="Good" xfId="6" builtinId="26" customBuiltin="1"/>
    <cellStyle name="Good 2" xfId="133"/>
    <cellStyle name="header" xfId="134"/>
    <cellStyle name="Header Total" xfId="135"/>
    <cellStyle name="header_Break-Even Analysis1" xfId="136"/>
    <cellStyle name="Header1" xfId="137"/>
    <cellStyle name="Header2" xfId="138"/>
    <cellStyle name="Header3" xfId="139"/>
    <cellStyle name="Header4" xfId="140"/>
    <cellStyle name="Heading 1" xfId="2" builtinId="16" customBuiltin="1"/>
    <cellStyle name="Heading 1 2" xfId="141"/>
    <cellStyle name="Heading 2" xfId="3" builtinId="17" customBuiltin="1"/>
    <cellStyle name="Heading 2 2" xfId="142"/>
    <cellStyle name="Heading 3" xfId="4" builtinId="18" customBuiltin="1"/>
    <cellStyle name="Heading 3 2" xfId="143"/>
    <cellStyle name="Heading 4" xfId="5" builtinId="19" customBuiltin="1"/>
    <cellStyle name="Heading 4 2" xfId="144"/>
    <cellStyle name="Hyperlink" xfId="44" builtinId="8"/>
    <cellStyle name="Hyperlink 2" xfId="46"/>
    <cellStyle name="Hyperlink 3" xfId="74"/>
    <cellStyle name="Input" xfId="9" builtinId="20" customBuiltin="1"/>
    <cellStyle name="Input 2" xfId="145"/>
    <cellStyle name="Linked Cell" xfId="12" builtinId="24" customBuiltin="1"/>
    <cellStyle name="Linked Cell 2" xfId="146"/>
    <cellStyle name="Milliers [0]_Eamer RegSGATemplates_2003" xfId="147"/>
    <cellStyle name="Milliers_Eamer RegSGATemplates_2003" xfId="148"/>
    <cellStyle name="Monétaire [0]_Eamer RegSGATemplates_2003" xfId="149"/>
    <cellStyle name="Monétaire_Eamer RegSGATemplates_2003" xfId="150"/>
    <cellStyle name="Neutral" xfId="8" builtinId="28" customBuiltin="1"/>
    <cellStyle name="Neutral 2" xfId="151"/>
    <cellStyle name="NonPrint_Heading" xfId="152"/>
    <cellStyle name="Normal" xfId="0" builtinId="0"/>
    <cellStyle name="Normal 2" xfId="42"/>
    <cellStyle name="Normal 2 2" xfId="43"/>
    <cellStyle name="Normal 2 2 2" xfId="75"/>
    <cellStyle name="Normal 2 3" xfId="45"/>
    <cellStyle name="Normal 3" xfId="76"/>
    <cellStyle name="Normal 3 2" xfId="153"/>
    <cellStyle name="Normal 4" xfId="77"/>
    <cellStyle name="Normal 4 2" xfId="78"/>
    <cellStyle name="Normal 4 3" xfId="79"/>
    <cellStyle name="Normal 4 4" xfId="80"/>
    <cellStyle name="Normal 5" xfId="81"/>
    <cellStyle name="Normal 6" xfId="82"/>
    <cellStyle name="Normal 6 2" xfId="83"/>
    <cellStyle name="Normal 6 3" xfId="84"/>
    <cellStyle name="Normal 7" xfId="154"/>
    <cellStyle name="Normal 8" xfId="48"/>
    <cellStyle name="Note" xfId="15" builtinId="10" customBuiltin="1"/>
    <cellStyle name="Note 2" xfId="155"/>
    <cellStyle name="Output" xfId="10" builtinId="21" customBuiltin="1"/>
    <cellStyle name="Output 2" xfId="156"/>
    <cellStyle name="Percent 2" xfId="85"/>
    <cellStyle name="Percent 2 2" xfId="86"/>
    <cellStyle name="Percent 2 3" xfId="87"/>
    <cellStyle name="Percent 2 4" xfId="88"/>
    <cellStyle name="Percent 3" xfId="157"/>
    <cellStyle name="Product Title" xfId="158"/>
    <cellStyle name="SAPBEXaggData" xfId="159"/>
    <cellStyle name="SAPBEXaggDataEmph" xfId="160"/>
    <cellStyle name="SAPBEXaggExc1" xfId="161"/>
    <cellStyle name="SAPBEXaggExc1Emph" xfId="162"/>
    <cellStyle name="SAPBEXaggExc2" xfId="163"/>
    <cellStyle name="SAPBEXaggExc2Emph" xfId="164"/>
    <cellStyle name="SAPBEXaggItem" xfId="165"/>
    <cellStyle name="SAPBEXaggItemX" xfId="166"/>
    <cellStyle name="SAPBEXchaText" xfId="167"/>
    <cellStyle name="SAPBEXexcBad7" xfId="168"/>
    <cellStyle name="SAPBEXexcBad8" xfId="169"/>
    <cellStyle name="SAPBEXexcBad9" xfId="170"/>
    <cellStyle name="SAPBEXexcCritical4" xfId="171"/>
    <cellStyle name="SAPBEXexcCritical5" xfId="172"/>
    <cellStyle name="SAPBEXexcCritical6" xfId="173"/>
    <cellStyle name="SAPBEXexcGood1" xfId="174"/>
    <cellStyle name="SAPBEXexcGood2" xfId="175"/>
    <cellStyle name="SAPBEXexcGood3" xfId="176"/>
    <cellStyle name="SAPBEXfilterDrill" xfId="177"/>
    <cellStyle name="SAPBEXfilterItem" xfId="178"/>
    <cellStyle name="SAPBEXfilterText" xfId="179"/>
    <cellStyle name="SAPBEXformats" xfId="180"/>
    <cellStyle name="SAPBEXheaderData" xfId="181"/>
    <cellStyle name="SAPBEXheaderItem" xfId="182"/>
    <cellStyle name="SAPBEXheaderText" xfId="183"/>
    <cellStyle name="SAPBEXHLevel0" xfId="184"/>
    <cellStyle name="SAPBEXHLevel0X" xfId="185"/>
    <cellStyle name="SAPBEXHLevel1" xfId="186"/>
    <cellStyle name="SAPBEXHLevel1X" xfId="187"/>
    <cellStyle name="SAPBEXHLevel2" xfId="188"/>
    <cellStyle name="SAPBEXHLevel2X" xfId="189"/>
    <cellStyle name="SAPBEXHLevel3" xfId="190"/>
    <cellStyle name="SAPBEXHLevel3X" xfId="191"/>
    <cellStyle name="SAPBEXresData" xfId="192"/>
    <cellStyle name="SAPBEXresDataEmph" xfId="193"/>
    <cellStyle name="SAPBEXresExc1" xfId="194"/>
    <cellStyle name="SAPBEXresExc1Emph" xfId="195"/>
    <cellStyle name="SAPBEXresExc2" xfId="196"/>
    <cellStyle name="SAPBEXresExc2Emph" xfId="197"/>
    <cellStyle name="SAPBEXresItem" xfId="198"/>
    <cellStyle name="SAPBEXresItemX" xfId="199"/>
    <cellStyle name="SAPBEXstdData" xfId="200"/>
    <cellStyle name="SAPBEXstdDataEmph" xfId="201"/>
    <cellStyle name="SAPBEXstdExc1" xfId="202"/>
    <cellStyle name="SAPBEXstdExc1Emph" xfId="203"/>
    <cellStyle name="SAPBEXstdExc2" xfId="204"/>
    <cellStyle name="SAPBEXstdExc2Emph" xfId="205"/>
    <cellStyle name="SAPBEXstdItem" xfId="206"/>
    <cellStyle name="SAPBEXstdItemX" xfId="207"/>
    <cellStyle name="SAPBEXsubData" xfId="208"/>
    <cellStyle name="SAPBEXsubDataEmph" xfId="209"/>
    <cellStyle name="SAPBEXsubExc1" xfId="210"/>
    <cellStyle name="SAPBEXsubExc1Emph" xfId="211"/>
    <cellStyle name="SAPBEXsubExc2" xfId="212"/>
    <cellStyle name="SAPBEXsubExc2Emph" xfId="213"/>
    <cellStyle name="SAPBEXsubItem" xfId="214"/>
    <cellStyle name="SAPBEXtitle" xfId="215"/>
    <cellStyle name="SAPBEXundefined" xfId="216"/>
    <cellStyle name="Style 1" xfId="217"/>
    <cellStyle name="Text" xfId="218"/>
    <cellStyle name="Title" xfId="1" builtinId="15" customBuiltin="1"/>
    <cellStyle name="Title 2" xfId="219"/>
    <cellStyle name="Total" xfId="17" builtinId="25" customBuiltin="1"/>
    <cellStyle name="Total 2" xfId="220"/>
    <cellStyle name="Warning Text" xfId="14" builtinId="11" customBuiltin="1"/>
    <cellStyle name="Warning Text 2" xfId="221"/>
    <cellStyle name="표준_~1242319" xfId="222"/>
    <cellStyle name="桁区切り [0.00]_AIM 2004 CE Input Sheet_Mar End" xfId="223"/>
    <cellStyle name="桁区切り_AIM 2004 CE Input Sheet_Mar End" xfId="224"/>
    <cellStyle name="標準_2004CE_0831" xfId="225"/>
    <cellStyle name="通貨_2006 JPN S&amp;OP_Feb Updated Feb 02_MS" xfId="226"/>
  </cellStyles>
  <dxfs count="14">
    <dxf>
      <fill>
        <patternFill>
          <bgColor theme="0" tint="-0.14996795556505021"/>
        </patternFill>
      </fill>
    </dxf>
    <dxf>
      <font>
        <b val="0"/>
        <i val="0"/>
        <condense val="0"/>
        <extend val="0"/>
        <color indexed="12"/>
      </font>
      <fill>
        <patternFill patternType="solid">
          <fgColor auto="1"/>
          <bgColor rgb="FFFFFF00"/>
        </patternFill>
      </fill>
    </dxf>
    <dxf>
      <font>
        <b val="0"/>
        <i val="0"/>
        <condense val="0"/>
        <extend val="0"/>
        <color indexed="12"/>
      </font>
      <fill>
        <patternFill>
          <bgColor rgb="FFFFFF00"/>
        </patternFill>
      </fill>
    </dxf>
    <dxf>
      <fill>
        <patternFill>
          <bgColor rgb="FFF2FFEA"/>
        </patternFill>
      </fill>
    </dxf>
    <dxf>
      <fill>
        <patternFill>
          <bgColor rgb="FFFFFFCC"/>
        </patternFill>
      </fill>
    </dxf>
    <dxf>
      <fill>
        <patternFill>
          <bgColor rgb="FFD8D8D8"/>
        </patternFill>
      </fill>
    </dxf>
    <dxf>
      <font>
        <color rgb="FF7F7F7F"/>
      </font>
      <fill>
        <patternFill>
          <bgColor rgb="FFBFBFBF"/>
        </patternFill>
      </fill>
    </dxf>
    <dxf>
      <font>
        <color rgb="FF7F7F7F"/>
      </font>
      <fill>
        <patternFill>
          <bgColor rgb="FFBFBFBF"/>
        </patternFill>
      </fill>
    </dxf>
    <dxf>
      <font>
        <color rgb="FF7F7F7F"/>
      </font>
      <fill>
        <patternFill>
          <bgColor rgb="FFD8D8D8"/>
        </patternFill>
      </fill>
    </dxf>
    <dxf>
      <font>
        <color rgb="FF7F7F7F"/>
      </font>
      <fill>
        <patternFill>
          <bgColor rgb="FFD8D8D8"/>
        </patternFill>
      </fill>
    </dxf>
    <dxf>
      <fill>
        <patternFill>
          <bgColor rgb="FFFFFF00"/>
        </patternFill>
      </fill>
    </dxf>
    <dxf>
      <fill>
        <patternFill>
          <bgColor rgb="FFFFFF00"/>
        </patternFill>
      </fill>
    </dxf>
    <dxf>
      <font>
        <color rgb="FF7F7F7F"/>
      </font>
      <fill>
        <patternFill>
          <bgColor rgb="FFD8D8D8"/>
        </patternFill>
      </fill>
    </dxf>
    <dxf>
      <fill>
        <patternFill>
          <bgColor rgb="FFFFFF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8DB4E3"/>
      <rgbColor rgb="000000FF"/>
      <rgbColor rgb="00FFFF00"/>
      <rgbColor rgb="00FF00FF"/>
      <rgbColor rgb="00002060"/>
      <rgbColor rgb="00800000"/>
      <rgbColor rgb="00008000"/>
      <rgbColor rgb="00000080"/>
      <rgbColor rgb="00808000"/>
      <rgbColor rgb="002860A4"/>
      <rgbColor rgb="00A6A6A6"/>
      <rgbColor rgb="00F2F2F2"/>
      <rgbColor rgb="00BEBEBE"/>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FFFFCC"/>
      <rgbColor rgb="002860A0"/>
      <rgbColor rgb="00F2FFEA"/>
      <rgbColor rgb="00FFFF99"/>
      <rgbColor rgb="00FFFF00"/>
      <rgbColor rgb="00FF99CC"/>
      <rgbColor rgb="007F7F7F"/>
      <rgbColor rgb="00FFCC99"/>
      <rgbColor rgb="00C9D9EB"/>
      <rgbColor rgb="000000FF"/>
      <rgbColor rgb="0099CC00"/>
      <rgbColor rgb="00FFCC00"/>
      <rgbColor rgb="00FF9900"/>
      <rgbColor rgb="00FF6600"/>
      <rgbColor rgb="004F81BD"/>
      <rgbColor rgb="00D8D8D8"/>
      <rgbColor rgb="00BEBEBE"/>
      <rgbColor rgb="00339966"/>
      <rgbColor rgb="00003300"/>
      <rgbColor rgb="00333300"/>
      <rgbColor rgb="00993300"/>
      <rgbColor rgb="00254061"/>
      <rgbColor rgb="001F497D"/>
      <rgbColor rgb="00A5A5A5"/>
    </indexedColors>
    <mruColors>
      <color rgb="FFFDFFAB"/>
      <color rgb="FFA6C36B"/>
      <color rgb="FF00FF00"/>
      <color rgb="FFE0DC44"/>
      <color rgb="FF6BA672"/>
      <color rgb="FFA4A715"/>
      <color rgb="FF800000"/>
      <color rgb="FF285EA0"/>
      <color rgb="FF2860A4"/>
      <color rgb="FF0000FF"/>
    </mru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2.png"/><Relationship Id="rId18" Type="http://schemas.openxmlformats.org/officeDocument/2006/relationships/image" Target="../media/image16.png"/><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1.png"/><Relationship Id="rId17" Type="http://schemas.openxmlformats.org/officeDocument/2006/relationships/image" Target="../media/image15.emf"/><Relationship Id="rId2" Type="http://schemas.openxmlformats.org/officeDocument/2006/relationships/image" Target="../media/image2.emf"/><Relationship Id="rId16" Type="http://schemas.openxmlformats.org/officeDocument/2006/relationships/hyperlink" Target="#'&gt; HELP &lt;'!A1"/><Relationship Id="rId20" Type="http://schemas.openxmlformats.org/officeDocument/2006/relationships/image" Target="../media/image18.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0.png"/><Relationship Id="rId5" Type="http://schemas.openxmlformats.org/officeDocument/2006/relationships/image" Target="../media/image5.emf"/><Relationship Id="rId15" Type="http://schemas.openxmlformats.org/officeDocument/2006/relationships/image" Target="../media/image14.emf"/><Relationship Id="rId10" Type="http://schemas.openxmlformats.org/officeDocument/2006/relationships/image" Target="../media/image9.png"/><Relationship Id="rId19" Type="http://schemas.openxmlformats.org/officeDocument/2006/relationships/image" Target="../media/image17.emf"/><Relationship Id="rId4" Type="http://schemas.openxmlformats.org/officeDocument/2006/relationships/image" Target="../media/image4.emf"/><Relationship Id="rId9" Type="http://schemas.openxmlformats.org/officeDocument/2006/relationships/hyperlink" Target="http://www.JTFAutomation.com/" TargetMode="External"/><Relationship Id="rId14" Type="http://schemas.openxmlformats.org/officeDocument/2006/relationships/image" Target="../media/image13.png"/></Relationships>
</file>

<file path=xl/drawings/_rels/drawing2.xml.rels><?xml version="1.0" encoding="UTF-8" standalone="yes"?>
<Relationships xmlns="http://schemas.openxmlformats.org/package/2006/relationships"><Relationship Id="rId8" Type="http://schemas.openxmlformats.org/officeDocument/2006/relationships/hyperlink" Target="http://www.JTFAutomation.com" TargetMode="External"/><Relationship Id="rId13" Type="http://schemas.openxmlformats.org/officeDocument/2006/relationships/hyperlink" Target="#'&gt; HELP &lt;'!A1"/><Relationship Id="rId3" Type="http://schemas.openxmlformats.org/officeDocument/2006/relationships/hyperlink" Target="#'&gt; HELP &lt;'!A1"/><Relationship Id="rId7" Type="http://schemas.openxmlformats.org/officeDocument/2006/relationships/image" Target="../media/image25.png"/><Relationship Id="rId12" Type="http://schemas.openxmlformats.org/officeDocument/2006/relationships/hyperlink" Target="#'&gt; HELP &lt;'!B19:C28"/><Relationship Id="rId2" Type="http://schemas.openxmlformats.org/officeDocument/2006/relationships/hyperlink" Target="#'&gt; HELP &lt;'!A1"/><Relationship Id="rId1" Type="http://schemas.openxmlformats.org/officeDocument/2006/relationships/hyperlink" Target="#'&gt; AI List &lt;'!A1"/><Relationship Id="rId6" Type="http://schemas.openxmlformats.org/officeDocument/2006/relationships/hyperlink" Target="http://www.excelautomationhelp.com/" TargetMode="External"/><Relationship Id="rId11" Type="http://schemas.openxmlformats.org/officeDocument/2006/relationships/hyperlink" Target="#'&gt; HELP &lt;'!B50:C64"/><Relationship Id="rId5" Type="http://schemas.openxmlformats.org/officeDocument/2006/relationships/hyperlink" Target="#'&gt; HELP &lt;'!A1"/><Relationship Id="rId10" Type="http://schemas.openxmlformats.org/officeDocument/2006/relationships/hyperlink" Target="#'&gt; HELP &lt;'!B68:C95"/><Relationship Id="rId4" Type="http://schemas.openxmlformats.org/officeDocument/2006/relationships/hyperlink" Target="#'&gt; HELP &lt;'!A1"/><Relationship Id="rId9"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absolute">
    <xdr:from>
      <xdr:col>3</xdr:col>
      <xdr:colOff>123951</xdr:colOff>
      <xdr:row>11</xdr:row>
      <xdr:rowOff>359053</xdr:rowOff>
    </xdr:from>
    <xdr:to>
      <xdr:col>4</xdr:col>
      <xdr:colOff>767647</xdr:colOff>
      <xdr:row>12</xdr:row>
      <xdr:rowOff>14990</xdr:rowOff>
    </xdr:to>
    <xdr:pic macro="[0]!a5410TabMenuButton1">
      <xdr:nvPicPr>
        <xdr:cNvPr id="1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19879" y="560819"/>
          <a:ext cx="962406" cy="208908"/>
        </a:xfrm>
        <a:prstGeom prst="rect">
          <a:avLst/>
        </a:prstGeom>
        <a:noFill/>
      </xdr:spPr>
    </xdr:pic>
    <xdr:clientData/>
  </xdr:twoCellAnchor>
  <xdr:twoCellAnchor editAs="absolute">
    <xdr:from>
      <xdr:col>6</xdr:col>
      <xdr:colOff>664500</xdr:colOff>
      <xdr:row>11</xdr:row>
      <xdr:rowOff>359053</xdr:rowOff>
    </xdr:from>
    <xdr:to>
      <xdr:col>6</xdr:col>
      <xdr:colOff>1781807</xdr:colOff>
      <xdr:row>12</xdr:row>
      <xdr:rowOff>16453</xdr:rowOff>
    </xdr:to>
    <xdr:pic macro="[0]!a5430TabMenuButton3">
      <xdr:nvPicPr>
        <xdr:cNvPr id="34" name="Picture 3"/>
        <xdr:cNvPicPr>
          <a:picLocks noChangeAspect="1" noChangeArrowheads="1"/>
        </xdr:cNvPicPr>
      </xdr:nvPicPr>
      <xdr:blipFill>
        <a:blip xmlns:r="http://schemas.openxmlformats.org/officeDocument/2006/relationships" r:embed="rId2" cstate="print"/>
        <a:srcRect/>
        <a:stretch>
          <a:fillRect/>
        </a:stretch>
      </xdr:blipFill>
      <xdr:spPr bwMode="auto">
        <a:xfrm>
          <a:off x="2640947" y="555037"/>
          <a:ext cx="1057275" cy="208685"/>
        </a:xfrm>
        <a:prstGeom prst="rect">
          <a:avLst/>
        </a:prstGeom>
        <a:noFill/>
      </xdr:spPr>
    </xdr:pic>
    <xdr:clientData/>
  </xdr:twoCellAnchor>
  <xdr:twoCellAnchor editAs="absolute">
    <xdr:from>
      <xdr:col>6</xdr:col>
      <xdr:colOff>1769432</xdr:colOff>
      <xdr:row>11</xdr:row>
      <xdr:rowOff>359053</xdr:rowOff>
    </xdr:from>
    <xdr:to>
      <xdr:col>7</xdr:col>
      <xdr:colOff>727818</xdr:colOff>
      <xdr:row>12</xdr:row>
      <xdr:rowOff>14990</xdr:rowOff>
    </xdr:to>
    <xdr:pic macro="[0]!a5440TabMenuButton4">
      <xdr:nvPicPr>
        <xdr:cNvPr id="20" name="Picture 4"/>
        <xdr:cNvPicPr>
          <a:picLocks noChangeAspect="1" noChangeArrowheads="1"/>
        </xdr:cNvPicPr>
      </xdr:nvPicPr>
      <xdr:blipFill>
        <a:blip xmlns:r="http://schemas.openxmlformats.org/officeDocument/2006/relationships" r:embed="rId3" cstate="print"/>
        <a:srcRect/>
        <a:stretch>
          <a:fillRect/>
        </a:stretch>
      </xdr:blipFill>
      <xdr:spPr bwMode="auto">
        <a:xfrm>
          <a:off x="3715590" y="560819"/>
          <a:ext cx="948812" cy="208908"/>
        </a:xfrm>
        <a:prstGeom prst="rect">
          <a:avLst/>
        </a:prstGeom>
        <a:noFill/>
      </xdr:spPr>
    </xdr:pic>
    <xdr:clientData/>
  </xdr:twoCellAnchor>
  <xdr:twoCellAnchor editAs="absolute">
    <xdr:from>
      <xdr:col>4</xdr:col>
      <xdr:colOff>758099</xdr:colOff>
      <xdr:row>11</xdr:row>
      <xdr:rowOff>359053</xdr:rowOff>
    </xdr:from>
    <xdr:to>
      <xdr:col>6</xdr:col>
      <xdr:colOff>692902</xdr:colOff>
      <xdr:row>12</xdr:row>
      <xdr:rowOff>14990</xdr:rowOff>
    </xdr:to>
    <xdr:pic macro="[0]!a5420TabMenuButton2">
      <xdr:nvPicPr>
        <xdr:cNvPr id="18" name="Picture 2"/>
        <xdr:cNvPicPr>
          <a:picLocks noChangeAspect="1" noChangeArrowheads="1"/>
        </xdr:cNvPicPr>
      </xdr:nvPicPr>
      <xdr:blipFill>
        <a:blip xmlns:r="http://schemas.openxmlformats.org/officeDocument/2006/relationships" r:embed="rId4" cstate="print"/>
        <a:srcRect/>
        <a:stretch>
          <a:fillRect/>
        </a:stretch>
      </xdr:blipFill>
      <xdr:spPr bwMode="auto">
        <a:xfrm>
          <a:off x="1672499" y="555037"/>
          <a:ext cx="996850" cy="207222"/>
        </a:xfrm>
        <a:prstGeom prst="rect">
          <a:avLst/>
        </a:prstGeom>
        <a:noFill/>
      </xdr:spPr>
    </xdr:pic>
    <xdr:clientData/>
  </xdr:twoCellAnchor>
  <xdr:twoCellAnchor editAs="absolute">
    <xdr:from>
      <xdr:col>1</xdr:col>
      <xdr:colOff>76029</xdr:colOff>
      <xdr:row>13</xdr:row>
      <xdr:rowOff>28694</xdr:rowOff>
    </xdr:from>
    <xdr:to>
      <xdr:col>2</xdr:col>
      <xdr:colOff>19117</xdr:colOff>
      <xdr:row>13</xdr:row>
      <xdr:rowOff>181094</xdr:rowOff>
    </xdr:to>
    <xdr:sp macro="[0]!a5220CalendarMoveBack" textlink="">
      <xdr:nvSpPr>
        <xdr:cNvPr id="3" name="TabMenuCalendarBackButton" hidden="1"/>
        <xdr:cNvSpPr>
          <a:spLocks/>
        </xdr:cNvSpPr>
      </xdr:nvSpPr>
      <xdr:spPr>
        <a:xfrm rot="16200000">
          <a:off x="257123" y="847725"/>
          <a:ext cx="152400" cy="133588"/>
        </a:xfrm>
        <a:prstGeom prst="triangle">
          <a:avLst/>
        </a:prstGeom>
        <a:gradFill flip="none" rotWithShape="0">
          <a:gsLst>
            <a:gs pos="0">
              <a:schemeClr val="bg1"/>
            </a:gs>
            <a:gs pos="100000">
              <a:schemeClr val="accent1">
                <a:lumMod val="60000"/>
                <a:lumOff val="40000"/>
              </a:schemeClr>
            </a:gs>
          </a:gsLst>
          <a:lin ang="5400000" scaled="0"/>
          <a:tileRect/>
        </a:gradFill>
        <a:ln w="3175">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2</xdr:col>
      <xdr:colOff>47808</xdr:colOff>
      <xdr:row>13</xdr:row>
      <xdr:rowOff>33159</xdr:rowOff>
    </xdr:from>
    <xdr:to>
      <xdr:col>2</xdr:col>
      <xdr:colOff>190325</xdr:colOff>
      <xdr:row>13</xdr:row>
      <xdr:rowOff>185559</xdr:rowOff>
    </xdr:to>
    <xdr:sp macro="[0]!a5225CalendarMoveForward" textlink="">
      <xdr:nvSpPr>
        <xdr:cNvPr id="4" name="TabMenuCalendarForwardButton" hidden="1"/>
        <xdr:cNvSpPr>
          <a:spLocks/>
        </xdr:cNvSpPr>
      </xdr:nvSpPr>
      <xdr:spPr>
        <a:xfrm rot="16200000" flipV="1">
          <a:off x="423867" y="847725"/>
          <a:ext cx="152400" cy="142517"/>
        </a:xfrm>
        <a:prstGeom prst="triangle">
          <a:avLst/>
        </a:prstGeom>
        <a:gradFill flip="none" rotWithShape="0">
          <a:gsLst>
            <a:gs pos="0">
              <a:schemeClr val="bg1"/>
            </a:gs>
            <a:gs pos="100000">
              <a:schemeClr val="accent1">
                <a:lumMod val="60000"/>
                <a:lumOff val="40000"/>
              </a:schemeClr>
            </a:gs>
          </a:gsLst>
          <a:lin ang="5400000" scaled="0"/>
          <a:tileRect/>
        </a:gradFill>
        <a:ln w="3175">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3</xdr:col>
      <xdr:colOff>123951</xdr:colOff>
      <xdr:row>11</xdr:row>
      <xdr:rowOff>348304</xdr:rowOff>
    </xdr:from>
    <xdr:to>
      <xdr:col>4</xdr:col>
      <xdr:colOff>767647</xdr:colOff>
      <xdr:row>13</xdr:row>
      <xdr:rowOff>19543</xdr:rowOff>
    </xdr:to>
    <xdr:pic>
      <xdr:nvPicPr>
        <xdr:cNvPr id="21" name="AITabMenu1"/>
        <xdr:cNvPicPr>
          <a:picLocks noChangeAspect="1" noChangeArrowheads="1"/>
        </xdr:cNvPicPr>
      </xdr:nvPicPr>
      <xdr:blipFill>
        <a:blip xmlns:r="http://schemas.openxmlformats.org/officeDocument/2006/relationships" r:embed="rId5" cstate="print"/>
        <a:srcRect/>
        <a:stretch>
          <a:fillRect/>
        </a:stretch>
      </xdr:blipFill>
      <xdr:spPr bwMode="auto">
        <a:xfrm>
          <a:off x="725931" y="546926"/>
          <a:ext cx="959926" cy="273245"/>
        </a:xfrm>
        <a:prstGeom prst="rect">
          <a:avLst/>
        </a:prstGeom>
        <a:noFill/>
      </xdr:spPr>
    </xdr:pic>
    <xdr:clientData/>
  </xdr:twoCellAnchor>
  <xdr:twoCellAnchor editAs="absolute">
    <xdr:from>
      <xdr:col>4</xdr:col>
      <xdr:colOff>758099</xdr:colOff>
      <xdr:row>11</xdr:row>
      <xdr:rowOff>347252</xdr:rowOff>
    </xdr:from>
    <xdr:to>
      <xdr:col>6</xdr:col>
      <xdr:colOff>692902</xdr:colOff>
      <xdr:row>13</xdr:row>
      <xdr:rowOff>19543</xdr:rowOff>
    </xdr:to>
    <xdr:pic>
      <xdr:nvPicPr>
        <xdr:cNvPr id="22" name="AITabMenu2" hidden="1"/>
        <xdr:cNvPicPr>
          <a:picLocks noChangeAspect="1" noChangeArrowheads="1"/>
        </xdr:cNvPicPr>
      </xdr:nvPicPr>
      <xdr:blipFill>
        <a:blip xmlns:r="http://schemas.openxmlformats.org/officeDocument/2006/relationships" r:embed="rId6" cstate="print"/>
        <a:srcRect/>
        <a:stretch>
          <a:fillRect/>
        </a:stretch>
      </xdr:blipFill>
      <xdr:spPr bwMode="auto">
        <a:xfrm>
          <a:off x="1676309" y="545874"/>
          <a:ext cx="995385" cy="274297"/>
        </a:xfrm>
        <a:prstGeom prst="rect">
          <a:avLst/>
        </a:prstGeom>
        <a:noFill/>
      </xdr:spPr>
    </xdr:pic>
    <xdr:clientData/>
  </xdr:twoCellAnchor>
  <xdr:twoCellAnchor editAs="absolute">
    <xdr:from>
      <xdr:col>6</xdr:col>
      <xdr:colOff>678437</xdr:colOff>
      <xdr:row>11</xdr:row>
      <xdr:rowOff>341786</xdr:rowOff>
    </xdr:from>
    <xdr:to>
      <xdr:col>6</xdr:col>
      <xdr:colOff>1790029</xdr:colOff>
      <xdr:row>13</xdr:row>
      <xdr:rowOff>19543</xdr:rowOff>
    </xdr:to>
    <xdr:pic>
      <xdr:nvPicPr>
        <xdr:cNvPr id="35" name="AITabMenu3" hidden="1"/>
        <xdr:cNvPicPr>
          <a:picLocks noChangeArrowheads="1"/>
        </xdr:cNvPicPr>
      </xdr:nvPicPr>
      <xdr:blipFill>
        <a:blip xmlns:r="http://schemas.openxmlformats.org/officeDocument/2006/relationships" r:embed="rId7" cstate="print"/>
        <a:srcRect/>
        <a:stretch>
          <a:fillRect/>
        </a:stretch>
      </xdr:blipFill>
      <xdr:spPr bwMode="auto">
        <a:xfrm>
          <a:off x="2657229" y="540408"/>
          <a:ext cx="1056096" cy="279763"/>
        </a:xfrm>
        <a:prstGeom prst="rect">
          <a:avLst/>
        </a:prstGeom>
        <a:noFill/>
      </xdr:spPr>
    </xdr:pic>
    <xdr:clientData/>
  </xdr:twoCellAnchor>
  <xdr:twoCellAnchor editAs="absolute">
    <xdr:from>
      <xdr:col>6</xdr:col>
      <xdr:colOff>1769432</xdr:colOff>
      <xdr:row>11</xdr:row>
      <xdr:rowOff>347252</xdr:rowOff>
    </xdr:from>
    <xdr:to>
      <xdr:col>7</xdr:col>
      <xdr:colOff>727818</xdr:colOff>
      <xdr:row>13</xdr:row>
      <xdr:rowOff>19543</xdr:rowOff>
    </xdr:to>
    <xdr:pic>
      <xdr:nvPicPr>
        <xdr:cNvPr id="24" name="AITabMenu4" hidden="1"/>
        <xdr:cNvPicPr>
          <a:picLocks noChangeAspect="1" noChangeArrowheads="1"/>
        </xdr:cNvPicPr>
      </xdr:nvPicPr>
      <xdr:blipFill>
        <a:blip xmlns:r="http://schemas.openxmlformats.org/officeDocument/2006/relationships" r:embed="rId8" cstate="print"/>
        <a:srcRect/>
        <a:stretch>
          <a:fillRect/>
        </a:stretch>
      </xdr:blipFill>
      <xdr:spPr bwMode="auto">
        <a:xfrm>
          <a:off x="3692728" y="545874"/>
          <a:ext cx="1004128" cy="274297"/>
        </a:xfrm>
        <a:prstGeom prst="rect">
          <a:avLst/>
        </a:prstGeom>
        <a:noFill/>
      </xdr:spPr>
    </xdr:pic>
    <xdr:clientData/>
  </xdr:twoCellAnchor>
  <xdr:twoCellAnchor editAs="oneCell">
    <xdr:from>
      <xdr:col>9</xdr:col>
      <xdr:colOff>644525</xdr:colOff>
      <xdr:row>11</xdr:row>
      <xdr:rowOff>64508</xdr:rowOff>
    </xdr:from>
    <xdr:to>
      <xdr:col>14</xdr:col>
      <xdr:colOff>1047750</xdr:colOff>
      <xdr:row>11</xdr:row>
      <xdr:rowOff>503421</xdr:rowOff>
    </xdr:to>
    <xdr:pic>
      <xdr:nvPicPr>
        <xdr:cNvPr id="28" name="Button7" hidden="1">
          <a:hlinkClick xmlns:r="http://schemas.openxmlformats.org/officeDocument/2006/relationships" r:id="rId9" tooltip="Click to visit JTFAutomation.com and learn more..."/>
        </xdr:cNvPr>
        <xdr:cNvPicPr>
          <a:picLocks noChangeAspect="1"/>
        </xdr:cNvPicPr>
      </xdr:nvPicPr>
      <xdr:blipFill>
        <a:blip xmlns:r="http://schemas.openxmlformats.org/officeDocument/2006/relationships" r:embed="rId10" cstate="print">
          <a:clrChange>
            <a:clrFrom>
              <a:srgbClr val="243F61"/>
            </a:clrFrom>
            <a:clrTo>
              <a:srgbClr val="243F61">
                <a:alpha val="0"/>
              </a:srgbClr>
            </a:clrTo>
          </a:clrChange>
        </a:blip>
        <a:stretch>
          <a:fillRect/>
        </a:stretch>
      </xdr:blipFill>
      <xdr:spPr>
        <a:xfrm>
          <a:off x="9617075" y="264533"/>
          <a:ext cx="2232025" cy="438913"/>
        </a:xfrm>
        <a:prstGeom prst="rect">
          <a:avLst/>
        </a:prstGeom>
      </xdr:spPr>
    </xdr:pic>
    <xdr:clientData/>
  </xdr:twoCellAnchor>
  <xdr:twoCellAnchor editAs="oneCell">
    <xdr:from>
      <xdr:col>1</xdr:col>
      <xdr:colOff>42864</xdr:colOff>
      <xdr:row>11</xdr:row>
      <xdr:rowOff>35719</xdr:rowOff>
    </xdr:from>
    <xdr:to>
      <xdr:col>3</xdr:col>
      <xdr:colOff>76028</xdr:colOff>
      <xdr:row>11</xdr:row>
      <xdr:rowOff>476315</xdr:rowOff>
    </xdr:to>
    <xdr:pic macro="[0]!a5000MainMenu">
      <xdr:nvPicPr>
        <xdr:cNvPr id="26" name="Button8"/>
        <xdr:cNvPicPr>
          <a:picLocks noChangeAspect="1"/>
        </xdr:cNvPicPr>
      </xdr:nvPicPr>
      <xdr:blipFill>
        <a:blip xmlns:r="http://schemas.openxmlformats.org/officeDocument/2006/relationships" r:embed="rId11" cstate="print">
          <a:clrChange>
            <a:clrFrom>
              <a:srgbClr val="2860A4"/>
            </a:clrFrom>
            <a:clrTo>
              <a:srgbClr val="2860A4">
                <a:alpha val="0"/>
              </a:srgbClr>
            </a:clrTo>
          </a:clrChange>
        </a:blip>
        <a:stretch>
          <a:fillRect/>
        </a:stretch>
      </xdr:blipFill>
      <xdr:spPr>
        <a:xfrm>
          <a:off x="233364" y="234502"/>
          <a:ext cx="436439" cy="440596"/>
        </a:xfrm>
        <a:prstGeom prst="rect">
          <a:avLst/>
        </a:prstGeom>
      </xdr:spPr>
    </xdr:pic>
    <xdr:clientData/>
  </xdr:twoCellAnchor>
  <xdr:twoCellAnchor editAs="absolute">
    <xdr:from>
      <xdr:col>4</xdr:col>
      <xdr:colOff>986831</xdr:colOff>
      <xdr:row>23</xdr:row>
      <xdr:rowOff>381270</xdr:rowOff>
    </xdr:from>
    <xdr:to>
      <xdr:col>6</xdr:col>
      <xdr:colOff>1325075</xdr:colOff>
      <xdr:row>29</xdr:row>
      <xdr:rowOff>303583</xdr:rowOff>
    </xdr:to>
    <xdr:pic>
      <xdr:nvPicPr>
        <xdr:cNvPr id="25" name="TabMenuAutomation1" descr="TabMenuAutomation1.png" hidden="1"/>
        <xdr:cNvPicPr>
          <a:picLocks noChangeAspect="1"/>
        </xdr:cNvPicPr>
      </xdr:nvPicPr>
      <xdr:blipFill>
        <a:blip xmlns:r="http://schemas.openxmlformats.org/officeDocument/2006/relationships" r:embed="rId12" cstate="print"/>
        <a:stretch>
          <a:fillRect/>
        </a:stretch>
      </xdr:blipFill>
      <xdr:spPr>
        <a:xfrm>
          <a:off x="1901231" y="1483240"/>
          <a:ext cx="1385031" cy="936359"/>
        </a:xfrm>
        <a:prstGeom prst="rect">
          <a:avLst/>
        </a:prstGeom>
        <a:ln>
          <a:solidFill>
            <a:schemeClr val="tx2"/>
          </a:solidFill>
        </a:ln>
      </xdr:spPr>
    </xdr:pic>
    <xdr:clientData/>
  </xdr:twoCellAnchor>
  <xdr:twoCellAnchor editAs="absolute">
    <xdr:from>
      <xdr:col>7</xdr:col>
      <xdr:colOff>2636939</xdr:colOff>
      <xdr:row>23</xdr:row>
      <xdr:rowOff>381270</xdr:rowOff>
    </xdr:from>
    <xdr:to>
      <xdr:col>7</xdr:col>
      <xdr:colOff>4012216</xdr:colOff>
      <xdr:row>29</xdr:row>
      <xdr:rowOff>303583</xdr:rowOff>
    </xdr:to>
    <xdr:pic>
      <xdr:nvPicPr>
        <xdr:cNvPr id="29" name="TabMenuAutomation2" descr="TabMenuAutomation2.png" hidden="1"/>
        <xdr:cNvPicPr>
          <a:picLocks noChangeAspect="1"/>
        </xdr:cNvPicPr>
      </xdr:nvPicPr>
      <xdr:blipFill>
        <a:blip xmlns:r="http://schemas.openxmlformats.org/officeDocument/2006/relationships" r:embed="rId13" cstate="print"/>
        <a:stretch>
          <a:fillRect/>
        </a:stretch>
      </xdr:blipFill>
      <xdr:spPr>
        <a:xfrm>
          <a:off x="6646002" y="1483240"/>
          <a:ext cx="1375277" cy="936359"/>
        </a:xfrm>
        <a:prstGeom prst="rect">
          <a:avLst/>
        </a:prstGeom>
        <a:noFill/>
        <a:ln>
          <a:noFill/>
        </a:ln>
      </xdr:spPr>
    </xdr:pic>
    <xdr:clientData/>
  </xdr:twoCellAnchor>
  <xdr:twoCellAnchor editAs="absolute">
    <xdr:from>
      <xdr:col>7</xdr:col>
      <xdr:colOff>75879</xdr:colOff>
      <xdr:row>23</xdr:row>
      <xdr:rowOff>381270</xdr:rowOff>
    </xdr:from>
    <xdr:to>
      <xdr:col>7</xdr:col>
      <xdr:colOff>1790316</xdr:colOff>
      <xdr:row>29</xdr:row>
      <xdr:rowOff>303583</xdr:rowOff>
    </xdr:to>
    <xdr:pic>
      <xdr:nvPicPr>
        <xdr:cNvPr id="30" name="TabMenuAutomation3" descr="TabMenuAutomation3.png" hidden="1"/>
        <xdr:cNvPicPr>
          <a:picLocks noChangeAspect="1"/>
        </xdr:cNvPicPr>
      </xdr:nvPicPr>
      <xdr:blipFill>
        <a:blip xmlns:r="http://schemas.openxmlformats.org/officeDocument/2006/relationships" r:embed="rId14" cstate="print"/>
        <a:stretch>
          <a:fillRect/>
        </a:stretch>
      </xdr:blipFill>
      <xdr:spPr>
        <a:xfrm>
          <a:off x="4082721" y="1483240"/>
          <a:ext cx="1716658" cy="936359"/>
        </a:xfrm>
        <a:prstGeom prst="rect">
          <a:avLst/>
        </a:prstGeom>
        <a:noFill/>
        <a:ln>
          <a:noFill/>
        </a:ln>
      </xdr:spPr>
    </xdr:pic>
    <xdr:clientData/>
  </xdr:twoCellAnchor>
  <xdr:twoCellAnchor editAs="oneCell">
    <xdr:from>
      <xdr:col>0</xdr:col>
      <xdr:colOff>0</xdr:colOff>
      <xdr:row>0</xdr:row>
      <xdr:rowOff>0</xdr:rowOff>
    </xdr:from>
    <xdr:to>
      <xdr:col>0</xdr:col>
      <xdr:colOff>94</xdr:colOff>
      <xdr:row>0</xdr:row>
      <xdr:rowOff>1577</xdr:rowOff>
    </xdr:to>
    <xdr:pic>
      <xdr:nvPicPr>
        <xdr:cNvPr id="1062" name="Picture 38"/>
        <xdr:cNvPicPr>
          <a:picLocks noChangeAspect="1" noChangeArrowheads="1"/>
        </xdr:cNvPicPr>
      </xdr:nvPicPr>
      <xdr:blipFill>
        <a:blip xmlns:r="http://schemas.openxmlformats.org/officeDocument/2006/relationships" r:embed="rId15" cstate="print"/>
        <a:srcRect/>
        <a:stretch>
          <a:fillRect/>
        </a:stretch>
      </xdr:blipFill>
      <xdr:spPr bwMode="auto">
        <a:xfrm>
          <a:off x="0" y="0"/>
          <a:ext cx="1509" cy="1577"/>
        </a:xfrm>
        <a:prstGeom prst="rect">
          <a:avLst/>
        </a:prstGeom>
        <a:noFill/>
      </xdr:spPr>
    </xdr:pic>
    <xdr:clientData/>
  </xdr:twoCellAnchor>
  <xdr:twoCellAnchor editAs="absolute">
    <xdr:from>
      <xdr:col>2</xdr:col>
      <xdr:colOff>180974</xdr:colOff>
      <xdr:row>13</xdr:row>
      <xdr:rowOff>19539</xdr:rowOff>
    </xdr:from>
    <xdr:to>
      <xdr:col>14</xdr:col>
      <xdr:colOff>1051887</xdr:colOff>
      <xdr:row>30</xdr:row>
      <xdr:rowOff>105425</xdr:rowOff>
    </xdr:to>
    <xdr:pic>
      <xdr:nvPicPr>
        <xdr:cNvPr id="1039" name="TabMenuHelp" hidden="1">
          <a:hlinkClick xmlns:r="http://schemas.openxmlformats.org/officeDocument/2006/relationships" r:id="rId16" tooltip="Click to go to HELP sheet…"/>
        </xdr:cNvPr>
        <xdr:cNvPicPr>
          <a:picLocks noChangeAspect="1" noChangeArrowheads="1"/>
        </xdr:cNvPicPr>
      </xdr:nvPicPr>
      <xdr:blipFill>
        <a:blip xmlns:r="http://schemas.openxmlformats.org/officeDocument/2006/relationships" r:embed="rId17" cstate="print"/>
        <a:srcRect r="-15437" b="15245"/>
        <a:stretch>
          <a:fillRect/>
        </a:stretch>
      </xdr:blipFill>
      <xdr:spPr bwMode="auto">
        <a:xfrm>
          <a:off x="561974" y="829164"/>
          <a:ext cx="11290300" cy="1811377"/>
        </a:xfrm>
        <a:prstGeom prst="rect">
          <a:avLst/>
        </a:prstGeom>
        <a:noFill/>
      </xdr:spPr>
    </xdr:pic>
    <xdr:clientData/>
  </xdr:twoCellAnchor>
  <xdr:twoCellAnchor editAs="oneCell">
    <xdr:from>
      <xdr:col>9</xdr:col>
      <xdr:colOff>83380</xdr:colOff>
      <xdr:row>11</xdr:row>
      <xdr:rowOff>65039</xdr:rowOff>
    </xdr:from>
    <xdr:to>
      <xdr:col>14</xdr:col>
      <xdr:colOff>1049020</xdr:colOff>
      <xdr:row>11</xdr:row>
      <xdr:rowOff>504829</xdr:rowOff>
    </xdr:to>
    <xdr:pic>
      <xdr:nvPicPr>
        <xdr:cNvPr id="32" name="Button7a" descr="ExcelAutomationHelp Logo v3 (2004) - Logo only (200 dpi) (Low res, 16 color, 1 to 1 scale).png"/>
        <xdr:cNvPicPr>
          <a:picLocks noChangeAspect="1"/>
        </xdr:cNvPicPr>
      </xdr:nvPicPr>
      <xdr:blipFill>
        <a:blip xmlns:r="http://schemas.openxmlformats.org/officeDocument/2006/relationships" r:embed="rId18" cstate="print">
          <a:clrChange>
            <a:clrFrom>
              <a:srgbClr val="243F61"/>
            </a:clrFrom>
            <a:clrTo>
              <a:srgbClr val="243F61">
                <a:alpha val="0"/>
              </a:srgbClr>
            </a:clrTo>
          </a:clrChange>
        </a:blip>
        <a:stretch>
          <a:fillRect/>
        </a:stretch>
      </xdr:blipFill>
      <xdr:spPr>
        <a:xfrm>
          <a:off x="9055930" y="265064"/>
          <a:ext cx="2794440" cy="439790"/>
        </a:xfrm>
        <a:prstGeom prst="rect">
          <a:avLst/>
        </a:prstGeom>
      </xdr:spPr>
    </xdr:pic>
    <xdr:clientData/>
  </xdr:twoCellAnchor>
  <xdr:twoCellAnchor editAs="oneCell">
    <xdr:from>
      <xdr:col>0</xdr:col>
      <xdr:colOff>1</xdr:colOff>
      <xdr:row>0</xdr:row>
      <xdr:rowOff>0</xdr:rowOff>
    </xdr:from>
    <xdr:to>
      <xdr:col>0</xdr:col>
      <xdr:colOff>1588</xdr:colOff>
      <xdr:row>0</xdr:row>
      <xdr:rowOff>159</xdr:rowOff>
    </xdr:to>
    <xdr:pic>
      <xdr:nvPicPr>
        <xdr:cNvPr id="1080" name="DummyPic"/>
        <xdr:cNvPicPr>
          <a:picLocks noChangeAspect="1" noChangeArrowheads="1"/>
        </xdr:cNvPicPr>
      </xdr:nvPicPr>
      <xdr:blipFill>
        <a:blip xmlns:r="http://schemas.openxmlformats.org/officeDocument/2006/relationships" r:embed="rId19"/>
        <a:srcRect/>
        <a:stretch>
          <a:fillRect/>
        </a:stretch>
      </xdr:blipFill>
      <xdr:spPr bwMode="auto">
        <a:xfrm>
          <a:off x="1" y="0"/>
          <a:ext cx="1587" cy="159"/>
        </a:xfrm>
        <a:prstGeom prst="rect">
          <a:avLst/>
        </a:prstGeom>
        <a:noFill/>
      </xdr:spPr>
    </xdr:pic>
    <xdr:clientData/>
  </xdr:twoCellAnchor>
  <xdr:twoCellAnchor editAs="oneCell">
    <xdr:from>
      <xdr:col>3</xdr:col>
      <xdr:colOff>0</xdr:colOff>
      <xdr:row>13</xdr:row>
      <xdr:rowOff>0</xdr:rowOff>
    </xdr:from>
    <xdr:to>
      <xdr:col>14</xdr:col>
      <xdr:colOff>1051889</xdr:colOff>
      <xdr:row>28</xdr:row>
      <xdr:rowOff>208085</xdr:rowOff>
    </xdr:to>
    <xdr:pic>
      <xdr:nvPicPr>
        <xdr:cNvPr id="1084" name="TabMenuCalendar" hidden="1"/>
        <xdr:cNvPicPr>
          <a:picLocks noChangeAspect="1" noChangeArrowheads="1"/>
        </xdr:cNvPicPr>
      </xdr:nvPicPr>
      <xdr:blipFill>
        <a:blip xmlns:r="http://schemas.openxmlformats.org/officeDocument/2006/relationships" r:embed="rId20" cstate="print"/>
        <a:srcRect r="37771"/>
        <a:stretch>
          <a:fillRect/>
        </a:stretch>
      </xdr:blipFill>
      <xdr:spPr bwMode="auto">
        <a:xfrm>
          <a:off x="600075" y="809625"/>
          <a:ext cx="11252201" cy="130492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2415408</xdr:colOff>
      <xdr:row>0</xdr:row>
      <xdr:rowOff>72257</xdr:rowOff>
    </xdr:from>
    <xdr:to>
      <xdr:col>2</xdr:col>
      <xdr:colOff>3691759</xdr:colOff>
      <xdr:row>1</xdr:row>
      <xdr:rowOff>183509</xdr:rowOff>
    </xdr:to>
    <xdr:sp macro="" textlink="">
      <xdr:nvSpPr>
        <xdr:cNvPr id="2" name="Rectangle 1">
          <a:hlinkClick xmlns:r="http://schemas.openxmlformats.org/officeDocument/2006/relationships" r:id="rId1" tooltip="Go to AI List"/>
        </xdr:cNvPr>
        <xdr:cNvSpPr/>
      </xdr:nvSpPr>
      <xdr:spPr>
        <a:xfrm>
          <a:off x="3482208" y="72257"/>
          <a:ext cx="1276351" cy="301752"/>
        </a:xfrm>
        <a:prstGeom prst="rect">
          <a:avLst/>
        </a:prstGeom>
        <a:gradFill>
          <a:gsLst>
            <a:gs pos="0">
              <a:schemeClr val="bg1"/>
            </a:gs>
            <a:gs pos="100000">
              <a:schemeClr val="bg1">
                <a:lumMod val="75000"/>
              </a:schemeClr>
            </a:gs>
          </a:gsLst>
          <a:lin ang="5400000" scaled="0"/>
        </a:gra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2"/>
              </a:solidFill>
              <a:latin typeface="Verdana" pitchFamily="34" charset="0"/>
              <a:cs typeface="Miriam" pitchFamily="2" charset="-79"/>
            </a:rPr>
            <a:t>Go to AI List</a:t>
          </a:r>
        </a:p>
      </xdr:txBody>
    </xdr:sp>
    <xdr:clientData/>
  </xdr:twoCellAnchor>
  <xdr:twoCellAnchor>
    <xdr:from>
      <xdr:col>3</xdr:col>
      <xdr:colOff>110358</xdr:colOff>
      <xdr:row>95</xdr:row>
      <xdr:rowOff>2381</xdr:rowOff>
    </xdr:from>
    <xdr:to>
      <xdr:col>4</xdr:col>
      <xdr:colOff>628649</xdr:colOff>
      <xdr:row>96</xdr:row>
      <xdr:rowOff>104108</xdr:rowOff>
    </xdr:to>
    <xdr:sp macro="" textlink="">
      <xdr:nvSpPr>
        <xdr:cNvPr id="6" name="Rectangle 5">
          <a:hlinkClick xmlns:r="http://schemas.openxmlformats.org/officeDocument/2006/relationships" r:id="rId2" tooltip="Go to top"/>
        </xdr:cNvPr>
        <xdr:cNvSpPr/>
      </xdr:nvSpPr>
      <xdr:spPr>
        <a:xfrm>
          <a:off x="7871162" y="13461620"/>
          <a:ext cx="634248" cy="300510"/>
        </a:xfrm>
        <a:prstGeom prst="rect">
          <a:avLst/>
        </a:prstGeom>
        <a:gradFill>
          <a:gsLst>
            <a:gs pos="0">
              <a:schemeClr val="bg1"/>
            </a:gs>
            <a:gs pos="100000">
              <a:schemeClr val="bg1">
                <a:lumMod val="75000"/>
              </a:schemeClr>
            </a:gs>
          </a:gsLst>
          <a:lin ang="5400000" scaled="0"/>
        </a:gra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100">
              <a:solidFill>
                <a:schemeClr val="tx2"/>
              </a:solidFill>
              <a:latin typeface="Verdana" pitchFamily="34" charset="0"/>
              <a:cs typeface="Miriam" pitchFamily="2" charset="-79"/>
            </a:rPr>
            <a:t>▲Top</a:t>
          </a:r>
        </a:p>
      </xdr:txBody>
    </xdr:sp>
    <xdr:clientData/>
  </xdr:twoCellAnchor>
  <xdr:twoCellAnchor>
    <xdr:from>
      <xdr:col>3</xdr:col>
      <xdr:colOff>110358</xdr:colOff>
      <xdr:row>67</xdr:row>
      <xdr:rowOff>2381</xdr:rowOff>
    </xdr:from>
    <xdr:to>
      <xdr:col>4</xdr:col>
      <xdr:colOff>628649</xdr:colOff>
      <xdr:row>67</xdr:row>
      <xdr:rowOff>294608</xdr:rowOff>
    </xdr:to>
    <xdr:sp macro="" textlink="">
      <xdr:nvSpPr>
        <xdr:cNvPr id="15" name="Rectangle 14">
          <a:hlinkClick xmlns:r="http://schemas.openxmlformats.org/officeDocument/2006/relationships" r:id="rId3" tooltip="Go to top"/>
        </xdr:cNvPr>
        <xdr:cNvSpPr/>
      </xdr:nvSpPr>
      <xdr:spPr>
        <a:xfrm>
          <a:off x="7873233" y="13966031"/>
          <a:ext cx="632591" cy="292227"/>
        </a:xfrm>
        <a:prstGeom prst="rect">
          <a:avLst/>
        </a:prstGeom>
        <a:gradFill>
          <a:gsLst>
            <a:gs pos="0">
              <a:schemeClr val="bg1"/>
            </a:gs>
            <a:gs pos="100000">
              <a:schemeClr val="bg1">
                <a:lumMod val="75000"/>
              </a:schemeClr>
            </a:gs>
          </a:gsLst>
          <a:lin ang="5400000" scaled="0"/>
        </a:gra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100">
              <a:solidFill>
                <a:schemeClr val="tx2"/>
              </a:solidFill>
              <a:latin typeface="Verdana" pitchFamily="34" charset="0"/>
              <a:cs typeface="Miriam" pitchFamily="2" charset="-79"/>
            </a:rPr>
            <a:t>▲Top</a:t>
          </a:r>
        </a:p>
      </xdr:txBody>
    </xdr:sp>
    <xdr:clientData/>
  </xdr:twoCellAnchor>
  <xdr:twoCellAnchor>
    <xdr:from>
      <xdr:col>3</xdr:col>
      <xdr:colOff>110358</xdr:colOff>
      <xdr:row>49</xdr:row>
      <xdr:rowOff>2381</xdr:rowOff>
    </xdr:from>
    <xdr:to>
      <xdr:col>4</xdr:col>
      <xdr:colOff>628649</xdr:colOff>
      <xdr:row>49</xdr:row>
      <xdr:rowOff>294608</xdr:rowOff>
    </xdr:to>
    <xdr:sp macro="" textlink="">
      <xdr:nvSpPr>
        <xdr:cNvPr id="16" name="Rectangle 15">
          <a:hlinkClick xmlns:r="http://schemas.openxmlformats.org/officeDocument/2006/relationships" r:id="rId4" tooltip="Go to top"/>
        </xdr:cNvPr>
        <xdr:cNvSpPr/>
      </xdr:nvSpPr>
      <xdr:spPr>
        <a:xfrm>
          <a:off x="7873233" y="8755856"/>
          <a:ext cx="632591" cy="292227"/>
        </a:xfrm>
        <a:prstGeom prst="rect">
          <a:avLst/>
        </a:prstGeom>
        <a:gradFill>
          <a:gsLst>
            <a:gs pos="0">
              <a:schemeClr val="bg1"/>
            </a:gs>
            <a:gs pos="100000">
              <a:schemeClr val="bg1">
                <a:lumMod val="75000"/>
              </a:schemeClr>
            </a:gs>
          </a:gsLst>
          <a:lin ang="5400000" scaled="0"/>
        </a:gra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100">
              <a:solidFill>
                <a:schemeClr val="tx2"/>
              </a:solidFill>
              <a:latin typeface="Verdana" pitchFamily="34" charset="0"/>
              <a:cs typeface="Miriam" pitchFamily="2" charset="-79"/>
            </a:rPr>
            <a:t>▲Top</a:t>
          </a:r>
        </a:p>
      </xdr:txBody>
    </xdr:sp>
    <xdr:clientData/>
  </xdr:twoCellAnchor>
  <xdr:twoCellAnchor>
    <xdr:from>
      <xdr:col>3</xdr:col>
      <xdr:colOff>110358</xdr:colOff>
      <xdr:row>31</xdr:row>
      <xdr:rowOff>2381</xdr:rowOff>
    </xdr:from>
    <xdr:to>
      <xdr:col>4</xdr:col>
      <xdr:colOff>628649</xdr:colOff>
      <xdr:row>31</xdr:row>
      <xdr:rowOff>294608</xdr:rowOff>
    </xdr:to>
    <xdr:sp macro="" textlink="">
      <xdr:nvSpPr>
        <xdr:cNvPr id="17" name="Rectangle 16">
          <a:hlinkClick xmlns:r="http://schemas.openxmlformats.org/officeDocument/2006/relationships" r:id="rId5" tooltip="Go to top"/>
        </xdr:cNvPr>
        <xdr:cNvSpPr/>
      </xdr:nvSpPr>
      <xdr:spPr>
        <a:xfrm>
          <a:off x="7873233" y="5460206"/>
          <a:ext cx="632591" cy="292227"/>
        </a:xfrm>
        <a:prstGeom prst="rect">
          <a:avLst/>
        </a:prstGeom>
        <a:gradFill>
          <a:gsLst>
            <a:gs pos="0">
              <a:schemeClr val="bg1"/>
            </a:gs>
            <a:gs pos="100000">
              <a:schemeClr val="bg1">
                <a:lumMod val="75000"/>
              </a:schemeClr>
            </a:gs>
          </a:gsLst>
          <a:lin ang="5400000" scaled="0"/>
        </a:gra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100">
              <a:solidFill>
                <a:schemeClr val="tx2"/>
              </a:solidFill>
              <a:latin typeface="Verdana" pitchFamily="34" charset="0"/>
              <a:cs typeface="Miriam" pitchFamily="2" charset="-79"/>
            </a:rPr>
            <a:t>▲Top</a:t>
          </a:r>
        </a:p>
      </xdr:txBody>
    </xdr:sp>
    <xdr:clientData/>
  </xdr:twoCellAnchor>
  <xdr:twoCellAnchor>
    <xdr:from>
      <xdr:col>2</xdr:col>
      <xdr:colOff>3685407</xdr:colOff>
      <xdr:row>24</xdr:row>
      <xdr:rowOff>47625</xdr:rowOff>
    </xdr:from>
    <xdr:to>
      <xdr:col>2</xdr:col>
      <xdr:colOff>6524625</xdr:colOff>
      <xdr:row>26</xdr:row>
      <xdr:rowOff>123826</xdr:rowOff>
    </xdr:to>
    <xdr:pic>
      <xdr:nvPicPr>
        <xdr:cNvPr id="20" name="Picture 19" descr="ExcelAutomationHelp Logo v3 (2004) - Logo only (200 dpi) (Low res, 16 color).png">
          <a:hlinkClick xmlns:r="http://schemas.openxmlformats.org/officeDocument/2006/relationships" r:id="rId6"/>
        </xdr:cNvPr>
        <xdr:cNvPicPr>
          <a:picLocks noChangeAspect="1"/>
        </xdr:cNvPicPr>
      </xdr:nvPicPr>
      <xdr:blipFill>
        <a:blip xmlns:r="http://schemas.openxmlformats.org/officeDocument/2006/relationships" r:embed="rId7" cstate="print">
          <a:clrChange>
            <a:clrFrom>
              <a:srgbClr val="FFFFFF"/>
            </a:clrFrom>
            <a:clrTo>
              <a:srgbClr val="FFFFFF">
                <a:alpha val="0"/>
              </a:srgbClr>
            </a:clrTo>
          </a:clrChange>
        </a:blip>
        <a:stretch>
          <a:fillRect/>
        </a:stretch>
      </xdr:blipFill>
      <xdr:spPr>
        <a:xfrm>
          <a:off x="4752207" y="4876800"/>
          <a:ext cx="2839218" cy="457201"/>
        </a:xfrm>
        <a:prstGeom prst="rect">
          <a:avLst/>
        </a:prstGeom>
      </xdr:spPr>
    </xdr:pic>
    <xdr:clientData/>
  </xdr:twoCellAnchor>
  <xdr:twoCellAnchor>
    <xdr:from>
      <xdr:col>2</xdr:col>
      <xdr:colOff>3685407</xdr:colOff>
      <xdr:row>21</xdr:row>
      <xdr:rowOff>47567</xdr:rowOff>
    </xdr:from>
    <xdr:to>
      <xdr:col>2</xdr:col>
      <xdr:colOff>5985420</xdr:colOff>
      <xdr:row>23</xdr:row>
      <xdr:rowOff>123826</xdr:rowOff>
    </xdr:to>
    <xdr:pic>
      <xdr:nvPicPr>
        <xdr:cNvPr id="9" name="Picture 8" descr="JTFAutomation Logo v2 - Logo only (100pixel tall).png">
          <a:hlinkClick xmlns:r="http://schemas.openxmlformats.org/officeDocument/2006/relationships" r:id="rId8"/>
        </xdr:cNvPr>
        <xdr:cNvPicPr>
          <a:picLocks noChangeAspect="1"/>
        </xdr:cNvPicPr>
      </xdr:nvPicPr>
      <xdr:blipFill>
        <a:blip xmlns:r="http://schemas.openxmlformats.org/officeDocument/2006/relationships" r:embed="rId9" cstate="print">
          <a:clrChange>
            <a:clrFrom>
              <a:srgbClr val="FFFFFF"/>
            </a:clrFrom>
            <a:clrTo>
              <a:srgbClr val="FFFFFF">
                <a:alpha val="0"/>
              </a:srgbClr>
            </a:clrTo>
          </a:clrChange>
        </a:blip>
        <a:stretch>
          <a:fillRect/>
        </a:stretch>
      </xdr:blipFill>
      <xdr:spPr>
        <a:xfrm>
          <a:off x="4752207" y="4305242"/>
          <a:ext cx="2300013" cy="457259"/>
        </a:xfrm>
        <a:prstGeom prst="rect">
          <a:avLst/>
        </a:prstGeom>
      </xdr:spPr>
    </xdr:pic>
    <xdr:clientData/>
  </xdr:twoCellAnchor>
  <xdr:twoCellAnchor>
    <xdr:from>
      <xdr:col>1</xdr:col>
      <xdr:colOff>628651</xdr:colOff>
      <xdr:row>13</xdr:row>
      <xdr:rowOff>9525</xdr:rowOff>
    </xdr:from>
    <xdr:to>
      <xdr:col>2</xdr:col>
      <xdr:colOff>2171701</xdr:colOff>
      <xdr:row>14</xdr:row>
      <xdr:rowOff>111252</xdr:rowOff>
    </xdr:to>
    <xdr:sp macro="" textlink="">
      <xdr:nvSpPr>
        <xdr:cNvPr id="10" name="Rectangle 9">
          <a:hlinkClick xmlns:r="http://schemas.openxmlformats.org/officeDocument/2006/relationships" r:id="rId10" tooltip="Auto-scroll down"/>
        </xdr:cNvPr>
        <xdr:cNvSpPr/>
      </xdr:nvSpPr>
      <xdr:spPr>
        <a:xfrm>
          <a:off x="742951" y="2609850"/>
          <a:ext cx="2495550" cy="292227"/>
        </a:xfrm>
        <a:prstGeom prst="rect">
          <a:avLst/>
        </a:prstGeom>
        <a:gradFill>
          <a:gsLst>
            <a:gs pos="0">
              <a:schemeClr val="bg1"/>
            </a:gs>
            <a:gs pos="100000">
              <a:schemeClr val="bg1">
                <a:lumMod val="75000"/>
              </a:schemeClr>
            </a:gs>
          </a:gsLst>
          <a:lin ang="5400000" scaled="0"/>
        </a:gra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2"/>
              </a:solidFill>
              <a:latin typeface="Verdana" pitchFamily="34" charset="0"/>
              <a:cs typeface="Miriam" pitchFamily="2" charset="-79"/>
            </a:rPr>
            <a:t>Terms &amp; Conditions of Free</a:t>
          </a:r>
          <a:r>
            <a:rPr lang="en-US" sz="1100" baseline="0">
              <a:solidFill>
                <a:schemeClr val="tx2"/>
              </a:solidFill>
              <a:latin typeface="Verdana" pitchFamily="34" charset="0"/>
              <a:cs typeface="Miriam" pitchFamily="2" charset="-79"/>
            </a:rPr>
            <a:t> Use</a:t>
          </a:r>
          <a:endParaRPr lang="en-US" sz="1100">
            <a:solidFill>
              <a:schemeClr val="tx2"/>
            </a:solidFill>
            <a:latin typeface="Verdana" pitchFamily="34" charset="0"/>
            <a:cs typeface="Miriam" pitchFamily="2" charset="-79"/>
          </a:endParaRPr>
        </a:p>
      </xdr:txBody>
    </xdr:sp>
    <xdr:clientData/>
  </xdr:twoCellAnchor>
  <xdr:twoCellAnchor>
    <xdr:from>
      <xdr:col>2</xdr:col>
      <xdr:colOff>2524125</xdr:colOff>
      <xdr:row>13</xdr:row>
      <xdr:rowOff>9525</xdr:rowOff>
    </xdr:from>
    <xdr:to>
      <xdr:col>2</xdr:col>
      <xdr:colOff>3657600</xdr:colOff>
      <xdr:row>14</xdr:row>
      <xdr:rowOff>111252</xdr:rowOff>
    </xdr:to>
    <xdr:sp macro="" textlink="">
      <xdr:nvSpPr>
        <xdr:cNvPr id="11" name="Rectangle 10">
          <a:hlinkClick xmlns:r="http://schemas.openxmlformats.org/officeDocument/2006/relationships" r:id="rId11" tooltip="Auto-scroll down"/>
        </xdr:cNvPr>
        <xdr:cNvSpPr/>
      </xdr:nvSpPr>
      <xdr:spPr>
        <a:xfrm>
          <a:off x="3590925" y="2609850"/>
          <a:ext cx="1133475" cy="292227"/>
        </a:xfrm>
        <a:prstGeom prst="rect">
          <a:avLst/>
        </a:prstGeom>
        <a:gradFill>
          <a:gsLst>
            <a:gs pos="0">
              <a:schemeClr val="bg1"/>
            </a:gs>
            <a:gs pos="100000">
              <a:schemeClr val="bg1">
                <a:lumMod val="75000"/>
              </a:schemeClr>
            </a:gs>
          </a:gsLst>
          <a:lin ang="5400000" scaled="0"/>
        </a:gra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2"/>
              </a:solidFill>
              <a:latin typeface="Verdana" pitchFamily="34" charset="0"/>
              <a:cs typeface="Miriam" pitchFamily="2" charset="-79"/>
            </a:rPr>
            <a:t>More Help...</a:t>
          </a:r>
        </a:p>
      </xdr:txBody>
    </xdr:sp>
    <xdr:clientData/>
  </xdr:twoCellAnchor>
  <xdr:twoCellAnchor>
    <xdr:from>
      <xdr:col>2</xdr:col>
      <xdr:colOff>4057651</xdr:colOff>
      <xdr:row>13</xdr:row>
      <xdr:rowOff>9525</xdr:rowOff>
    </xdr:from>
    <xdr:to>
      <xdr:col>2</xdr:col>
      <xdr:colOff>6153151</xdr:colOff>
      <xdr:row>14</xdr:row>
      <xdr:rowOff>111252</xdr:rowOff>
    </xdr:to>
    <xdr:sp macro="" textlink="">
      <xdr:nvSpPr>
        <xdr:cNvPr id="12" name="Rectangle 11">
          <a:hlinkClick xmlns:r="http://schemas.openxmlformats.org/officeDocument/2006/relationships" r:id="rId12" tooltip="Auto-scroll down"/>
        </xdr:cNvPr>
        <xdr:cNvSpPr/>
      </xdr:nvSpPr>
      <xdr:spPr>
        <a:xfrm>
          <a:off x="5124451" y="2609850"/>
          <a:ext cx="2095500" cy="292227"/>
        </a:xfrm>
        <a:prstGeom prst="rect">
          <a:avLst/>
        </a:prstGeom>
        <a:gradFill>
          <a:gsLst>
            <a:gs pos="0">
              <a:schemeClr val="bg1"/>
            </a:gs>
            <a:gs pos="100000">
              <a:schemeClr val="bg1">
                <a:lumMod val="75000"/>
              </a:schemeClr>
            </a:gs>
          </a:gsLst>
          <a:lin ang="5400000" scaled="0"/>
        </a:gra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2"/>
              </a:solidFill>
              <a:latin typeface="Verdana" pitchFamily="34" charset="0"/>
              <a:cs typeface="Miriam" pitchFamily="2" charset="-79"/>
            </a:rPr>
            <a:t>Custom Excel Automation</a:t>
          </a:r>
        </a:p>
      </xdr:txBody>
    </xdr:sp>
    <xdr:clientData/>
  </xdr:twoCellAnchor>
  <xdr:twoCellAnchor>
    <xdr:from>
      <xdr:col>4</xdr:col>
      <xdr:colOff>0</xdr:colOff>
      <xdr:row>18</xdr:row>
      <xdr:rowOff>19050</xdr:rowOff>
    </xdr:from>
    <xdr:to>
      <xdr:col>4</xdr:col>
      <xdr:colOff>632591</xdr:colOff>
      <xdr:row>18</xdr:row>
      <xdr:rowOff>311277</xdr:rowOff>
    </xdr:to>
    <xdr:sp macro="" textlink="">
      <xdr:nvSpPr>
        <xdr:cNvPr id="13" name="Rectangle 12">
          <a:hlinkClick xmlns:r="http://schemas.openxmlformats.org/officeDocument/2006/relationships" r:id="rId13" tooltip="Go to top"/>
        </xdr:cNvPr>
        <xdr:cNvSpPr/>
      </xdr:nvSpPr>
      <xdr:spPr>
        <a:xfrm>
          <a:off x="7953375" y="3571875"/>
          <a:ext cx="632591" cy="292227"/>
        </a:xfrm>
        <a:prstGeom prst="rect">
          <a:avLst/>
        </a:prstGeom>
        <a:gradFill>
          <a:gsLst>
            <a:gs pos="0">
              <a:schemeClr val="bg1"/>
            </a:gs>
            <a:gs pos="100000">
              <a:schemeClr val="bg1">
                <a:lumMod val="75000"/>
              </a:schemeClr>
            </a:gs>
          </a:gsLst>
          <a:lin ang="5400000" scaled="0"/>
        </a:gra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100">
              <a:solidFill>
                <a:schemeClr val="tx2"/>
              </a:solidFill>
              <a:latin typeface="Verdana" pitchFamily="34" charset="0"/>
              <a:cs typeface="Miriam" pitchFamily="2" charset="-79"/>
            </a:rPr>
            <a:t>▲Top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Document\Meetings\5060%20AI%20List%20-%20Calvary%20Automation%20-%20Pactiv%20Thermoformer%20Rebuild.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gt; HELP &lt;"/>
      <sheetName val="&gt; AI LIST &lt;"/>
      <sheetName val="Contact Information"/>
      <sheetName val="••Calendar"/>
      <sheetName val="••AI List Support"/>
      <sheetName val="••AITabMenu"/>
    </sheetNames>
    <sheetDataSet>
      <sheetData sheetId="0" refreshError="1"/>
      <sheetData sheetId="1" refreshError="1"/>
      <sheetData sheetId="2" refreshError="1"/>
      <sheetData sheetId="3" refreshError="1"/>
      <sheetData sheetId="4">
        <row r="26">
          <cell r="B26" t="str">
            <v>Bill Bartlett</v>
          </cell>
          <cell r="E26" t="str">
            <v>Elec.</v>
          </cell>
        </row>
        <row r="27">
          <cell r="E27" t="str">
            <v>Financials</v>
          </cell>
        </row>
        <row r="28">
          <cell r="E28" t="str">
            <v>Misc</v>
          </cell>
        </row>
        <row r="29">
          <cell r="E29" t="str">
            <v>Purchasing</v>
          </cell>
        </row>
        <row r="30">
          <cell r="E30" t="str">
            <v>sc</v>
          </cell>
        </row>
        <row r="31">
          <cell r="E31" t="str">
            <v>Schedule</v>
          </cell>
        </row>
        <row r="32">
          <cell r="E32" t="str">
            <v>Scope</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10.xml"/><Relationship Id="rId3" Type="http://schemas.openxmlformats.org/officeDocument/2006/relationships/vmlDrawing" Target="../drawings/vmlDrawing1.vml"/><Relationship Id="rId7" Type="http://schemas.openxmlformats.org/officeDocument/2006/relationships/control" Target="../activeX/activeX4.xml"/><Relationship Id="rId12" Type="http://schemas.openxmlformats.org/officeDocument/2006/relationships/control" Target="../activeX/activeX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11" Type="http://schemas.openxmlformats.org/officeDocument/2006/relationships/control" Target="../activeX/activeX8.xml"/><Relationship Id="rId5" Type="http://schemas.openxmlformats.org/officeDocument/2006/relationships/control" Target="../activeX/activeX2.xml"/><Relationship Id="rId15" Type="http://schemas.openxmlformats.org/officeDocument/2006/relationships/control" Target="../activeX/activeX12.xml"/><Relationship Id="rId10" Type="http://schemas.openxmlformats.org/officeDocument/2006/relationships/control" Target="../activeX/activeX7.xml"/><Relationship Id="rId4" Type="http://schemas.openxmlformats.org/officeDocument/2006/relationships/control" Target="../activeX/activeX1.xml"/><Relationship Id="rId9" Type="http://schemas.openxmlformats.org/officeDocument/2006/relationships/control" Target="../activeX/activeX6.xml"/><Relationship Id="rId14" Type="http://schemas.openxmlformats.org/officeDocument/2006/relationships/control" Target="../activeX/activeX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www.jtfautomation.com/" TargetMode="External"/><Relationship Id="rId2" Type="http://schemas.openxmlformats.org/officeDocument/2006/relationships/hyperlink" Target="mailto:Help@ExcelAutomationHelp.com" TargetMode="External"/><Relationship Id="rId1" Type="http://schemas.openxmlformats.org/officeDocument/2006/relationships/hyperlink" Target="http://www.excelautomationhelp.com/" TargetMode="External"/><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Help@JTFAutomation.com" TargetMode="External"/></Relationships>
</file>

<file path=xl/worksheets/sheet1.xml><?xml version="1.0" encoding="utf-8"?>
<worksheet xmlns="http://schemas.openxmlformats.org/spreadsheetml/2006/main" xmlns:r="http://schemas.openxmlformats.org/officeDocument/2006/relationships">
  <sheetPr codeName="Sheet1">
    <tabColor rgb="FF00FFFF"/>
    <pageSetUpPr autoPageBreaks="0" fitToPage="1"/>
  </sheetPr>
  <dimension ref="A1:W92"/>
  <sheetViews>
    <sheetView showGridLines="0" showRowColHeaders="0" tabSelected="1" zoomScaleNormal="100" workbookViewId="0">
      <pane ySplit="29" topLeftCell="A30" activePane="bottomLeft" state="frozen"/>
      <selection pane="bottomLeft" activeCell="G33" sqref="G33"/>
    </sheetView>
  </sheetViews>
  <sheetFormatPr defaultRowHeight="15"/>
  <cols>
    <col min="1" max="2" width="2.85546875" customWidth="1"/>
    <col min="3" max="3" width="3.28515625" style="1" customWidth="1"/>
    <col min="4" max="4" width="4.7109375" style="1" customWidth="1"/>
    <col min="5" max="5" width="15.7109375" customWidth="1"/>
    <col min="6" max="6" width="15.7109375" hidden="1" customWidth="1"/>
    <col min="7" max="7" width="30.7109375" customWidth="1"/>
    <col min="8" max="8" width="60.7109375" customWidth="1"/>
    <col min="9" max="9" width="13.7109375" customWidth="1"/>
    <col min="10" max="10" width="10.7109375" customWidth="1"/>
    <col min="11" max="11" width="16.7109375" customWidth="1"/>
    <col min="12" max="12" width="15.7109375" hidden="1" customWidth="1"/>
    <col min="13" max="13" width="26.7109375" hidden="1" customWidth="1"/>
    <col min="14" max="14" width="16.7109375" hidden="1" customWidth="1"/>
    <col min="15" max="15" width="16.7109375" customWidth="1"/>
    <col min="16" max="16" width="9.140625" hidden="1" customWidth="1"/>
    <col min="17" max="17" width="9.140625" style="112" hidden="1" customWidth="1"/>
    <col min="18" max="23" width="9.140625" hidden="1" customWidth="1"/>
    <col min="24" max="24" width="2.85546875" customWidth="1"/>
    <col min="35" max="35" width="9.140625" customWidth="1"/>
    <col min="36" max="36" width="1.28515625" customWidth="1"/>
    <col min="39" max="39" width="3.42578125" customWidth="1"/>
  </cols>
  <sheetData>
    <row r="1" spans="1:23" ht="15.75" thickBot="1">
      <c r="E1" s="5"/>
      <c r="F1" s="5"/>
      <c r="G1" s="5"/>
      <c r="H1" s="5"/>
      <c r="I1" s="5"/>
      <c r="J1" s="5"/>
      <c r="K1" s="5"/>
      <c r="L1" s="5"/>
      <c r="M1" s="5"/>
      <c r="O1" s="75"/>
    </row>
    <row r="2" spans="1:23" ht="16.5" hidden="1" thickTop="1">
      <c r="B2" s="204" t="s">
        <v>11</v>
      </c>
      <c r="C2" s="205"/>
      <c r="D2" s="205"/>
      <c r="E2" s="205"/>
      <c r="F2" s="205"/>
      <c r="G2" s="205"/>
      <c r="H2" s="205"/>
      <c r="I2" s="205"/>
      <c r="J2" s="205"/>
      <c r="K2" s="205"/>
      <c r="L2" s="205"/>
      <c r="M2" s="205"/>
      <c r="N2" s="205"/>
      <c r="O2" s="206"/>
      <c r="P2" s="12"/>
      <c r="Q2" s="111"/>
      <c r="R2" s="12"/>
      <c r="S2" s="12"/>
      <c r="T2" s="12"/>
      <c r="U2" s="12"/>
      <c r="V2" s="12"/>
      <c r="W2" s="12"/>
    </row>
    <row r="3" spans="1:23" hidden="1">
      <c r="B3" s="17"/>
      <c r="C3" s="18" t="s">
        <v>9</v>
      </c>
      <c r="D3" s="19"/>
      <c r="E3" s="7"/>
      <c r="F3" s="8"/>
      <c r="G3" s="9"/>
      <c r="H3" s="9"/>
      <c r="I3" s="10"/>
      <c r="J3" s="11"/>
      <c r="K3" s="191"/>
      <c r="L3" s="85"/>
      <c r="M3" s="8"/>
      <c r="N3" s="193"/>
      <c r="O3" s="192"/>
      <c r="P3" s="12"/>
      <c r="Q3" s="111"/>
      <c r="R3" s="12"/>
      <c r="S3" s="12" t="str">
        <f t="shared" ref="S3" si="0">IF(C3="☑","[9],Closed",IF(COUNTA(E3:O3)=0,"[0],New (since last sort)","[1],Open"))</f>
        <v>[0],New (since last sort)</v>
      </c>
      <c r="T3" s="12" t="str">
        <f ca="1">IF($C3="☑","[9],Closed",IF(COUNTA($E3:$O3)=0,"[0],New (since last sort)",IF(K3="","[8],None",IF(K3&lt;TODAY(),"[1],Past Due",IF(K3=TODAY(),"[2],Due Today",IF(K3&lt;=TODAY()+7,"[3],Due Within 1 Week",IF(K3&lt;=TODAY()+14,"[4],Due Within 1 Month",IF(K3&lt;=TODAY()+21,"[4],Due Within 1 Month",IF(K3&lt;=TODAY()+30,"[4],Due Within 1 Month","[5],Due Beyond 1 Month")))))))))</f>
        <v>[0],New (since last sort)</v>
      </c>
      <c r="U3" t="str">
        <f ca="1">IF($C3="☑","[9],Closed",IF(COUNTA($E3:$O3)=0,"[0],New (since last sort)",IF(N3="","[8],None",IF(N3&gt;=TODAY(),"[1],Created Today",IF(N3&gt;=TODAY()-8,"[2],Created Within 1 Week",IF(N3&gt;=TODAY()-30,"[3],Created Within 1 Month",IF(N3&gt;=TODAY()-90,"[4],Created Within 3 Months","[5],Created Over 3 Months Ago")))))))</f>
        <v>[0],New (since last sort)</v>
      </c>
      <c r="V3" t="str">
        <f ca="1">IF($C3="☑","[9],Closed",IF(COUNTA($E3:$O3)=0,"[0],New (since last sort)",IF(O3="","[8],None",IF(O3&gt;=TODAY(),"[1],Updated Today",IF(O3&gt;=TODAY()-8,"[2],Updated Within 1 Week",IF(O3&gt;=TODAY()-30,"[3],Updated Within 1 Month",IF(O3&gt;=TODAY()-90,"[4],Updated Within 3 Months","[5],Updated Over 3 Months Ago")))))))</f>
        <v>[0],New (since last sort)</v>
      </c>
      <c r="W3" t="b">
        <f ca="1">AND($C3&lt;&gt;"☑",$K3&gt;0,$K3&lt;=TODAY())</f>
        <v>0</v>
      </c>
    </row>
    <row r="4" spans="1:23" ht="16.5" hidden="1" thickBot="1">
      <c r="D4" s="6"/>
      <c r="E4" s="6"/>
      <c r="F4" s="6"/>
      <c r="G4" s="6"/>
      <c r="H4" s="6"/>
      <c r="I4" s="6"/>
      <c r="J4" s="6"/>
      <c r="K4" s="6"/>
      <c r="L4" s="6"/>
      <c r="M4" s="6"/>
      <c r="N4" s="6"/>
      <c r="O4" s="6"/>
    </row>
    <row r="5" spans="1:23" ht="16.5" hidden="1" thickTop="1">
      <c r="B5" s="207" t="s">
        <v>12</v>
      </c>
      <c r="C5" s="208"/>
      <c r="D5" s="208"/>
      <c r="E5" s="208"/>
      <c r="F5" s="208"/>
      <c r="G5" s="208"/>
      <c r="H5" s="208"/>
      <c r="I5" s="208"/>
      <c r="J5" s="208"/>
      <c r="K5" s="208"/>
      <c r="L5" s="208"/>
      <c r="M5" s="208"/>
      <c r="N5" s="208"/>
      <c r="O5" s="209"/>
    </row>
    <row r="6" spans="1:23" ht="16.5" hidden="1" thickBot="1">
      <c r="B6" s="20"/>
      <c r="C6" s="6"/>
      <c r="D6" s="6"/>
      <c r="E6" s="6"/>
      <c r="F6" s="6"/>
      <c r="G6" s="6"/>
      <c r="H6" s="6"/>
      <c r="I6" s="6"/>
      <c r="J6" s="6"/>
      <c r="K6" s="6"/>
      <c r="L6" s="6"/>
      <c r="M6" s="6"/>
      <c r="N6" s="6"/>
      <c r="O6" s="6"/>
    </row>
    <row r="7" spans="1:23" ht="16.5" hidden="1" thickTop="1">
      <c r="B7" s="201" t="s">
        <v>51</v>
      </c>
      <c r="C7" s="202"/>
      <c r="D7" s="202"/>
      <c r="E7" s="202"/>
      <c r="F7" s="202"/>
      <c r="G7" s="202"/>
      <c r="H7" s="202"/>
      <c r="I7" s="202"/>
      <c r="J7" s="202"/>
      <c r="K7" s="202"/>
      <c r="L7" s="202"/>
      <c r="M7" s="202"/>
      <c r="N7" s="202"/>
      <c r="O7" s="203"/>
    </row>
    <row r="8" spans="1:23" hidden="1">
      <c r="A8" t="s">
        <v>13</v>
      </c>
      <c r="B8" s="1">
        <v>3</v>
      </c>
      <c r="C8" s="1">
        <v>4</v>
      </c>
      <c r="D8" s="1">
        <v>4</v>
      </c>
      <c r="E8" s="1">
        <v>15</v>
      </c>
      <c r="F8" s="1">
        <v>15</v>
      </c>
      <c r="G8" s="1">
        <v>30</v>
      </c>
      <c r="H8" s="1">
        <v>60</v>
      </c>
      <c r="I8" s="1">
        <v>13</v>
      </c>
      <c r="J8" s="1">
        <v>10</v>
      </c>
      <c r="K8" s="1">
        <v>16</v>
      </c>
      <c r="L8" s="1">
        <v>15</v>
      </c>
      <c r="M8" s="1">
        <v>26</v>
      </c>
      <c r="N8" s="1">
        <v>16</v>
      </c>
      <c r="O8" s="1">
        <v>16</v>
      </c>
    </row>
    <row r="9" spans="1:23" hidden="1">
      <c r="B9" t="s">
        <v>55</v>
      </c>
      <c r="C9" s="1" t="s">
        <v>9</v>
      </c>
      <c r="D9" s="1" t="s">
        <v>15</v>
      </c>
      <c r="E9" s="24"/>
      <c r="F9" s="24"/>
    </row>
    <row r="10" spans="1:23" hidden="1">
      <c r="B10" t="s">
        <v>14</v>
      </c>
      <c r="C10" s="1" t="s">
        <v>10</v>
      </c>
      <c r="D10" s="1" t="s">
        <v>16</v>
      </c>
    </row>
    <row r="11" spans="1:23" ht="15.75" hidden="1" thickBot="1">
      <c r="A11" t="str">
        <f>"Detail Range Key (Column Names Row,Detail Row Start,Detail Column Start):"&amp;ROW(AIDetailRangeKey)&amp;","&amp;ROW(B29)+1&amp;","&amp;COLUMN(B29)</f>
        <v>Detail Range Key (Column Names Row,Detail Row Start,Detail Column Start):11,30,2</v>
      </c>
      <c r="B11" t="s">
        <v>32</v>
      </c>
      <c r="C11" s="1" t="s">
        <v>33</v>
      </c>
      <c r="D11" s="13" t="s">
        <v>34</v>
      </c>
      <c r="E11" s="12" t="s">
        <v>35</v>
      </c>
      <c r="F11" s="12" t="s">
        <v>36</v>
      </c>
      <c r="G11" s="12" t="s">
        <v>37</v>
      </c>
      <c r="H11" s="12" t="s">
        <v>38</v>
      </c>
      <c r="I11" s="12" t="s">
        <v>39</v>
      </c>
      <c r="J11" s="12" t="s">
        <v>40</v>
      </c>
      <c r="K11" s="12" t="s">
        <v>41</v>
      </c>
      <c r="L11" s="12" t="s">
        <v>42</v>
      </c>
      <c r="M11" s="12" t="s">
        <v>43</v>
      </c>
      <c r="N11" s="12" t="s">
        <v>44</v>
      </c>
      <c r="O11" t="s">
        <v>45</v>
      </c>
      <c r="P11" t="s">
        <v>46</v>
      </c>
      <c r="Q11" s="112" t="s">
        <v>47</v>
      </c>
      <c r="R11" t="s">
        <v>48</v>
      </c>
      <c r="S11" t="s">
        <v>49</v>
      </c>
      <c r="T11" t="s">
        <v>50</v>
      </c>
      <c r="U11" t="s">
        <v>58</v>
      </c>
      <c r="V11" t="s">
        <v>59</v>
      </c>
    </row>
    <row r="12" spans="1:23" ht="44.25" customHeight="1" thickTop="1" thickBot="1">
      <c r="B12" s="77"/>
      <c r="C12" s="135"/>
      <c r="D12" s="138" t="str">
        <f ca="1">IF(AITitle&lt;&gt;" ",IF(ISERROR(SEARCH("AI List",AITitle)),"AI List:  ","") &amp; AITitle,IF(ISERROR(SEARCH("AI List",AIFilename)),"AI List:  ","") &amp; AIFilename) &amp; AIFileNameEndText</f>
        <v xml:space="preserve">AI List - EXCEL TEMPLATE v5.13 </v>
      </c>
      <c r="E12" s="78"/>
      <c r="F12" s="78"/>
      <c r="G12" s="78"/>
      <c r="H12" s="78"/>
      <c r="I12" s="79"/>
      <c r="J12" s="78"/>
      <c r="K12" s="79"/>
      <c r="L12" s="79" t="s">
        <v>70</v>
      </c>
      <c r="M12" s="79" t="s">
        <v>70</v>
      </c>
      <c r="N12" s="80" t="s">
        <v>70</v>
      </c>
      <c r="O12" s="81" t="s">
        <v>70</v>
      </c>
    </row>
    <row r="13" spans="1:23" ht="3.75" customHeight="1">
      <c r="B13" s="54"/>
      <c r="C13" s="55"/>
      <c r="D13" s="56"/>
      <c r="E13" s="57"/>
      <c r="F13" s="57"/>
      <c r="G13" s="57"/>
      <c r="H13" s="57"/>
      <c r="I13" s="57"/>
      <c r="J13" s="57"/>
      <c r="K13" s="57"/>
      <c r="L13" s="57"/>
      <c r="M13" s="57"/>
      <c r="N13" s="58"/>
      <c r="O13" s="59"/>
    </row>
    <row r="14" spans="1:23" ht="22.5" customHeight="1">
      <c r="B14" s="115" t="str">
        <f ca="1">"Last Updated:  " &amp; IF(MAX($O:$O)&lt;1000,"",TEXT(MAX($O:$O),AIDateFormat)) &amp; "                    Open:  " &amp; COUNTIF($S:$S,"[1],Open") &amp; IF(AIHiddenVisibility,"","*") &amp; "                    Past Due:  " &amp;COUNTIF($W:$W,TRUE)</f>
        <v>Last Updated:  Mon 1/1/2001                    Open:  9                    Past Due:  1</v>
      </c>
      <c r="C14" s="76"/>
      <c r="D14" s="56"/>
      <c r="E14" s="57"/>
      <c r="F14" s="57"/>
      <c r="G14" s="57"/>
      <c r="H14" s="57"/>
      <c r="I14" s="57"/>
      <c r="J14" s="57"/>
      <c r="K14" s="57"/>
      <c r="L14" s="57"/>
      <c r="M14" s="57"/>
      <c r="N14" s="58"/>
      <c r="O14" s="137" t="str">
        <f>IF(OR(AIUserVersion="CUser",AIUserVersion="RecentCUser"),"",IF(AICustomMode &gt;= 2,"*Customized Version*",IF(AICustomMode = 1, "(Customized Version)", "(Free Version)")))</f>
        <v>(Free Version)</v>
      </c>
    </row>
    <row r="15" spans="1:23" ht="102" hidden="1" customHeight="1">
      <c r="B15" s="60"/>
      <c r="C15" s="64"/>
      <c r="D15" s="136"/>
      <c r="E15" s="62"/>
      <c r="F15" s="62"/>
      <c r="G15" s="62"/>
      <c r="H15" s="62"/>
      <c r="I15" s="62"/>
      <c r="J15" s="62"/>
      <c r="K15" s="62"/>
      <c r="L15" s="62"/>
      <c r="M15" s="62"/>
      <c r="N15" s="62"/>
      <c r="O15" s="63"/>
    </row>
    <row r="16" spans="1:23" ht="15" hidden="1" customHeight="1">
      <c r="B16" s="88"/>
      <c r="C16" s="64" t="s">
        <v>75</v>
      </c>
      <c r="D16" s="86"/>
      <c r="E16" s="86"/>
      <c r="F16" s="86"/>
      <c r="G16" s="86"/>
      <c r="H16" s="86"/>
      <c r="I16" s="86"/>
      <c r="J16" s="86"/>
      <c r="K16" s="86"/>
      <c r="L16" s="86"/>
      <c r="M16" s="86"/>
      <c r="N16" s="86"/>
      <c r="O16" s="87"/>
    </row>
    <row r="17" spans="1:23" ht="15" hidden="1" customHeight="1">
      <c r="B17" s="89"/>
      <c r="C17" s="91"/>
      <c r="D17" s="91"/>
      <c r="E17" s="91"/>
      <c r="F17" s="91"/>
      <c r="G17" s="91"/>
      <c r="H17" s="91"/>
      <c r="I17" s="91"/>
      <c r="J17" s="91"/>
      <c r="K17" s="91"/>
      <c r="L17" s="91"/>
      <c r="M17" s="91"/>
      <c r="N17" s="91"/>
      <c r="O17" s="90"/>
    </row>
    <row r="18" spans="1:23" ht="15" hidden="1" customHeight="1">
      <c r="B18" s="89"/>
      <c r="C18" s="92"/>
      <c r="D18" s="92"/>
      <c r="E18" s="92" t="s">
        <v>76</v>
      </c>
      <c r="F18" s="92"/>
      <c r="G18" s="92"/>
      <c r="H18" s="92"/>
      <c r="I18" s="92"/>
      <c r="J18" s="92"/>
      <c r="K18" s="92"/>
      <c r="L18" s="92"/>
      <c r="M18" s="92"/>
      <c r="N18" s="92"/>
      <c r="O18" s="90"/>
    </row>
    <row r="19" spans="1:23" ht="15" hidden="1" customHeight="1">
      <c r="B19" s="89"/>
      <c r="C19" s="92"/>
      <c r="D19" s="92"/>
      <c r="E19" s="92"/>
      <c r="F19" s="92"/>
      <c r="G19" s="92"/>
      <c r="H19" s="92"/>
      <c r="I19" s="92"/>
      <c r="J19" s="92"/>
      <c r="K19" s="92"/>
      <c r="L19" s="92"/>
      <c r="M19" s="92"/>
      <c r="N19" s="92"/>
      <c r="O19" s="90"/>
    </row>
    <row r="20" spans="1:23" ht="15" hidden="1" customHeight="1">
      <c r="B20" s="89"/>
      <c r="C20" s="93"/>
      <c r="D20" s="93"/>
      <c r="E20" s="93"/>
      <c r="F20" s="93"/>
      <c r="G20" s="93"/>
      <c r="H20" s="93"/>
      <c r="I20" s="93"/>
      <c r="J20" s="93"/>
      <c r="K20" s="93"/>
      <c r="L20" s="93"/>
      <c r="M20" s="93"/>
      <c r="N20" s="93"/>
      <c r="O20" s="90"/>
    </row>
    <row r="21" spans="1:23" ht="133.5" hidden="1" customHeight="1">
      <c r="B21" s="213" t="s">
        <v>230</v>
      </c>
      <c r="C21" s="214"/>
      <c r="D21" s="214"/>
      <c r="E21" s="214"/>
      <c r="F21" s="214"/>
      <c r="G21" s="214"/>
      <c r="H21" s="214"/>
      <c r="I21" s="214"/>
      <c r="J21" s="214"/>
      <c r="K21" s="214"/>
      <c r="L21" s="214"/>
      <c r="M21" s="214"/>
      <c r="N21" s="214"/>
      <c r="O21" s="215"/>
    </row>
    <row r="22" spans="1:23" ht="170.25" hidden="1" customHeight="1">
      <c r="B22" s="60"/>
      <c r="C22" s="64"/>
      <c r="D22" s="61"/>
      <c r="E22" s="62"/>
      <c r="F22" s="62"/>
      <c r="G22" s="62"/>
      <c r="H22" s="62"/>
      <c r="I22" s="62"/>
      <c r="J22" s="62"/>
      <c r="K22" s="62"/>
      <c r="L22" s="62"/>
      <c r="M22" s="62"/>
      <c r="N22" s="62"/>
      <c r="O22" s="63"/>
    </row>
    <row r="23" spans="1:23" ht="60" hidden="1" customHeight="1">
      <c r="B23" s="216" t="s">
        <v>118</v>
      </c>
      <c r="C23" s="217"/>
      <c r="D23" s="217"/>
      <c r="E23" s="217"/>
      <c r="F23" s="217"/>
      <c r="G23" s="217"/>
      <c r="H23" s="217"/>
      <c r="I23" s="217"/>
      <c r="J23" s="217"/>
      <c r="K23" s="217"/>
      <c r="L23" s="217"/>
      <c r="M23" s="217"/>
      <c r="N23" s="217"/>
      <c r="O23" s="99"/>
    </row>
    <row r="24" spans="1:23" ht="60" customHeight="1">
      <c r="A24" s="84"/>
      <c r="B24" s="216" t="s">
        <v>112</v>
      </c>
      <c r="C24" s="217"/>
      <c r="D24" s="217"/>
      <c r="E24" s="217"/>
      <c r="F24" s="217"/>
      <c r="G24" s="217"/>
      <c r="H24" s="217"/>
      <c r="I24" s="217"/>
      <c r="J24" s="217"/>
      <c r="K24" s="217"/>
      <c r="L24" s="217"/>
      <c r="M24" s="217"/>
      <c r="N24" s="217"/>
      <c r="O24" s="99"/>
    </row>
    <row r="25" spans="1:23" ht="60" hidden="1" customHeight="1">
      <c r="B25" s="216" t="s">
        <v>120</v>
      </c>
      <c r="C25" s="218"/>
      <c r="D25" s="218"/>
      <c r="E25" s="218"/>
      <c r="F25" s="218"/>
      <c r="G25" s="218"/>
      <c r="H25" s="218"/>
      <c r="I25" s="218"/>
      <c r="J25" s="218"/>
      <c r="K25" s="218"/>
      <c r="L25" s="218"/>
      <c r="M25" s="218"/>
      <c r="N25" s="218"/>
      <c r="O25" s="99"/>
    </row>
    <row r="26" spans="1:23" ht="60" hidden="1" customHeight="1">
      <c r="B26" s="216" t="s">
        <v>121</v>
      </c>
      <c r="C26" s="218"/>
      <c r="D26" s="218"/>
      <c r="E26" s="218"/>
      <c r="F26" s="218"/>
      <c r="G26" s="218"/>
      <c r="H26" s="218"/>
      <c r="I26" s="218"/>
      <c r="J26" s="218"/>
      <c r="K26" s="218"/>
      <c r="L26" s="218"/>
      <c r="M26" s="218"/>
      <c r="N26" s="218"/>
      <c r="O26" s="99"/>
    </row>
    <row r="27" spans="1:23" ht="45" hidden="1" customHeight="1">
      <c r="B27" s="219" t="s">
        <v>119</v>
      </c>
      <c r="C27" s="220"/>
      <c r="D27" s="220"/>
      <c r="E27" s="220"/>
      <c r="F27" s="220"/>
      <c r="G27" s="220"/>
      <c r="H27" s="220"/>
      <c r="I27" s="220"/>
      <c r="J27" s="220"/>
      <c r="K27" s="220"/>
      <c r="L27" s="220"/>
      <c r="M27" s="220"/>
      <c r="N27" s="220"/>
      <c r="O27" s="99"/>
    </row>
    <row r="28" spans="1:23" ht="3.75" customHeight="1" thickBot="1">
      <c r="B28" s="14"/>
      <c r="C28" s="15"/>
      <c r="D28" s="15"/>
      <c r="E28" s="15"/>
      <c r="F28" s="15"/>
      <c r="G28" s="15"/>
      <c r="H28" s="15"/>
      <c r="I28" s="15"/>
      <c r="J28" s="15"/>
      <c r="K28" s="15"/>
      <c r="L28" s="15"/>
      <c r="M28" s="15"/>
      <c r="N28" s="15"/>
      <c r="O28" s="16"/>
    </row>
    <row r="29" spans="1:23" ht="16.5" thickTop="1" thickBot="1">
      <c r="B29" s="210" t="s">
        <v>188</v>
      </c>
      <c r="C29" s="211"/>
      <c r="D29" s="212"/>
      <c r="E29" s="198" t="s">
        <v>223</v>
      </c>
      <c r="F29" s="26" t="s">
        <v>0</v>
      </c>
      <c r="G29" s="26" t="s">
        <v>222</v>
      </c>
      <c r="H29" s="26" t="s">
        <v>1</v>
      </c>
      <c r="I29" s="26" t="s">
        <v>189</v>
      </c>
      <c r="J29" s="26" t="s">
        <v>3</v>
      </c>
      <c r="K29" s="26" t="s">
        <v>186</v>
      </c>
      <c r="L29" s="26" t="s">
        <v>4</v>
      </c>
      <c r="M29" s="26" t="s">
        <v>176</v>
      </c>
      <c r="N29" s="26" t="s">
        <v>67</v>
      </c>
      <c r="O29" s="197" t="s">
        <v>175</v>
      </c>
      <c r="P29" s="4" t="s">
        <v>5</v>
      </c>
      <c r="Q29" s="113" t="s">
        <v>6</v>
      </c>
      <c r="R29" s="4" t="s">
        <v>7</v>
      </c>
      <c r="S29" s="4" t="s">
        <v>54</v>
      </c>
      <c r="T29" s="4" t="s">
        <v>8</v>
      </c>
      <c r="U29" s="4" t="s">
        <v>56</v>
      </c>
      <c r="V29" s="4" t="s">
        <v>57</v>
      </c>
      <c r="W29" s="4" t="s">
        <v>71</v>
      </c>
    </row>
    <row r="30" spans="1:23" ht="33" customHeight="1" thickTop="1">
      <c r="B30" s="207" t="s">
        <v>12</v>
      </c>
      <c r="C30" s="208"/>
      <c r="D30" s="208"/>
      <c r="E30" s="208"/>
      <c r="F30" s="208"/>
      <c r="G30" s="208"/>
      <c r="H30" s="208"/>
      <c r="I30" s="208"/>
      <c r="J30" s="208"/>
      <c r="K30" s="208"/>
      <c r="L30" s="208"/>
      <c r="M30" s="208"/>
      <c r="N30" s="208"/>
      <c r="O30" s="209"/>
      <c r="P30" s="4"/>
      <c r="Q30" s="113"/>
      <c r="R30" s="4"/>
      <c r="S30" s="4"/>
      <c r="T30" s="4"/>
      <c r="U30" s="4"/>
      <c r="V30" s="4"/>
      <c r="W30" s="4"/>
    </row>
    <row r="31" spans="1:23" ht="15.75" thickBot="1">
      <c r="B31" s="21"/>
      <c r="C31" s="22" t="s">
        <v>9</v>
      </c>
      <c r="D31" s="23">
        <v>11</v>
      </c>
      <c r="E31" s="7"/>
      <c r="F31" s="8"/>
      <c r="G31" s="9"/>
      <c r="H31" s="9"/>
      <c r="I31" s="10"/>
      <c r="J31" s="11"/>
      <c r="K31" s="191"/>
      <c r="L31" s="85"/>
      <c r="M31" s="8"/>
      <c r="N31" s="195"/>
      <c r="O31" s="196"/>
      <c r="P31" s="12"/>
      <c r="Q31" s="111"/>
      <c r="R31" s="12"/>
      <c r="S31" s="12" t="str">
        <f t="shared" ref="S31:S44" si="1">IF(C31="☑","[9],Closed",IF(COUNTA(E31:O31)=0,"[0],New (since last sort)","[1],Open"))</f>
        <v>[0],New (since last sort)</v>
      </c>
      <c r="T31" s="12" t="str">
        <f t="shared" ref="T31:T44" ca="1" si="2">IF($C31="☑","[9],Closed",IF(COUNTA($E31:$O31)=0,"[0],New (since last sort)",IF(K31="","[8],None",IF(K31&lt;TODAY(),"[1],Past Due",IF(K31=TODAY(),"[2],Due Today",IF(K31&lt;=TODAY()+7,"[3],Due Within 1 Week",IF(K31&lt;=TODAY()+14,"[4],Due Within 1 Month",IF(K31&lt;=TODAY()+21,"[4],Due Within 1 Month",IF(K31&lt;=TODAY()+30,"[4],Due Within 1 Month","[5],Due Beyond 1 Month")))))))))</f>
        <v>[0],New (since last sort)</v>
      </c>
      <c r="U31" t="str">
        <f t="shared" ref="U31:U44" ca="1" si="3">IF($C31="☑","[9],Closed",IF(COUNTA($E31:$O31)=0,"[0],New (since last sort)",IF(N31="","[8],None",IF(N31&gt;=TODAY(),"[1],Created Today",IF(N31&gt;=TODAY()-8,"[2],Created Within 1 Week",IF(N31&gt;=TODAY()-30,"[3],Created Within 1 Month",IF(N31&gt;=TODAY()-90,"[4],Created Within 3 Months","[5],Created Over 3 Months Ago")))))))</f>
        <v>[0],New (since last sort)</v>
      </c>
      <c r="V31" t="str">
        <f t="shared" ref="V31:V44" ca="1" si="4">IF($C31="☑","[9],Closed",IF(COUNTA($E31:$O31)=0,"[0],New (since last sort)",IF(O31="","[8],None",IF(O31&gt;=TODAY(),"[1],Updated Today",IF(O31&gt;=TODAY()-8,"[2],Updated Within 1 Week",IF(O31&gt;=TODAY()-30,"[3],Updated Within 1 Month",IF(O31&gt;=TODAY()-90,"[4],Updated Within 3 Months","[5],Updated Over 3 Months Ago")))))))</f>
        <v>[0],New (since last sort)</v>
      </c>
      <c r="W31" t="b">
        <f t="shared" ref="W31:W44" ca="1" si="5">AND($C31&lt;&gt;"☑",$K31&gt;0,$K31&lt;=TODAY())</f>
        <v>0</v>
      </c>
    </row>
    <row r="32" spans="1:23" ht="33" customHeight="1" thickTop="1">
      <c r="B32" s="204" t="s">
        <v>225</v>
      </c>
      <c r="C32" s="205"/>
      <c r="D32" s="205"/>
      <c r="E32" s="205"/>
      <c r="F32" s="205"/>
      <c r="G32" s="205"/>
      <c r="H32" s="205"/>
      <c r="I32" s="205"/>
      <c r="J32" s="205"/>
      <c r="K32" s="205"/>
      <c r="L32" s="205"/>
      <c r="M32" s="205"/>
      <c r="N32" s="205"/>
      <c r="O32" s="206"/>
      <c r="P32" s="12"/>
      <c r="Q32" s="111"/>
      <c r="R32" s="12"/>
      <c r="S32" s="12"/>
      <c r="T32" s="12"/>
    </row>
    <row r="33" spans="2:23" ht="30">
      <c r="B33" s="17"/>
      <c r="C33" s="18" t="s">
        <v>9</v>
      </c>
      <c r="D33" s="19">
        <v>1</v>
      </c>
      <c r="E33" s="199" t="s">
        <v>190</v>
      </c>
      <c r="F33" s="8"/>
      <c r="G33" s="9" t="s">
        <v>191</v>
      </c>
      <c r="H33" s="9" t="s">
        <v>192</v>
      </c>
      <c r="I33" s="10"/>
      <c r="J33" s="11"/>
      <c r="K33" s="191"/>
      <c r="L33" s="85"/>
      <c r="M33" s="8"/>
      <c r="N33" s="193"/>
      <c r="O33" s="192">
        <v>36892</v>
      </c>
      <c r="P33" s="12" t="s">
        <v>193</v>
      </c>
      <c r="Q33" s="111">
        <v>41953.758240740739</v>
      </c>
      <c r="R33" s="12" t="s">
        <v>228</v>
      </c>
      <c r="S33" s="12" t="str">
        <f t="shared" si="1"/>
        <v>[1],Open</v>
      </c>
      <c r="T33" s="12" t="str">
        <f t="shared" ca="1" si="2"/>
        <v>[8],None</v>
      </c>
      <c r="U33" t="str">
        <f t="shared" ca="1" si="3"/>
        <v>[8],None</v>
      </c>
      <c r="V33" t="str">
        <f t="shared" ca="1" si="4"/>
        <v>[5],Updated Over 3 Months Ago</v>
      </c>
      <c r="W33" t="b">
        <f t="shared" ca="1" si="5"/>
        <v>0</v>
      </c>
    </row>
    <row r="34" spans="2:23" ht="30">
      <c r="B34" s="17"/>
      <c r="C34" s="18" t="s">
        <v>9</v>
      </c>
      <c r="D34" s="19">
        <v>2</v>
      </c>
      <c r="E34" s="199" t="s">
        <v>190</v>
      </c>
      <c r="F34" s="8"/>
      <c r="G34" s="9" t="s">
        <v>194</v>
      </c>
      <c r="H34" s="9" t="s">
        <v>195</v>
      </c>
      <c r="I34" s="10"/>
      <c r="J34" s="11"/>
      <c r="K34" s="191"/>
      <c r="L34" s="85"/>
      <c r="M34" s="8"/>
      <c r="N34" s="193"/>
      <c r="O34" s="192">
        <v>36892</v>
      </c>
      <c r="P34" s="12" t="s">
        <v>196</v>
      </c>
      <c r="Q34" s="111">
        <v>41953.756388888891</v>
      </c>
      <c r="R34" s="12" t="s">
        <v>228</v>
      </c>
      <c r="S34" s="12" t="str">
        <f t="shared" si="1"/>
        <v>[1],Open</v>
      </c>
      <c r="T34" s="12" t="str">
        <f t="shared" ca="1" si="2"/>
        <v>[8],None</v>
      </c>
      <c r="U34" t="str">
        <f t="shared" ca="1" si="3"/>
        <v>[8],None</v>
      </c>
      <c r="V34" t="str">
        <f t="shared" ca="1" si="4"/>
        <v>[5],Updated Over 3 Months Ago</v>
      </c>
      <c r="W34" t="b">
        <f t="shared" ca="1" si="5"/>
        <v>0</v>
      </c>
    </row>
    <row r="35" spans="2:23" ht="30">
      <c r="B35" s="17"/>
      <c r="C35" s="18" t="s">
        <v>9</v>
      </c>
      <c r="D35" s="19">
        <v>3</v>
      </c>
      <c r="E35" s="199" t="s">
        <v>190</v>
      </c>
      <c r="F35" s="8"/>
      <c r="G35" s="9" t="s">
        <v>197</v>
      </c>
      <c r="H35" s="9" t="s">
        <v>198</v>
      </c>
      <c r="I35" s="10"/>
      <c r="J35" s="11"/>
      <c r="K35" s="191"/>
      <c r="L35" s="85"/>
      <c r="M35" s="8"/>
      <c r="N35" s="193"/>
      <c r="O35" s="192">
        <v>36892</v>
      </c>
      <c r="P35" s="12" t="s">
        <v>199</v>
      </c>
      <c r="Q35" s="111">
        <v>41709.011365740742</v>
      </c>
      <c r="R35" s="12" t="s">
        <v>200</v>
      </c>
      <c r="S35" s="12" t="str">
        <f t="shared" si="1"/>
        <v>[1],Open</v>
      </c>
      <c r="T35" s="12" t="str">
        <f t="shared" ca="1" si="2"/>
        <v>[8],None</v>
      </c>
      <c r="U35" t="str">
        <f t="shared" ca="1" si="3"/>
        <v>[8],None</v>
      </c>
      <c r="V35" t="str">
        <f t="shared" ca="1" si="4"/>
        <v>[5],Updated Over 3 Months Ago</v>
      </c>
      <c r="W35" t="b">
        <f t="shared" ca="1" si="5"/>
        <v>0</v>
      </c>
    </row>
    <row r="36" spans="2:23" ht="30">
      <c r="B36" s="17"/>
      <c r="C36" s="18" t="s">
        <v>9</v>
      </c>
      <c r="D36" s="19">
        <v>4</v>
      </c>
      <c r="E36" s="199" t="s">
        <v>190</v>
      </c>
      <c r="F36" s="8"/>
      <c r="G36" s="200" t="s">
        <v>227</v>
      </c>
      <c r="H36" s="200" t="s">
        <v>229</v>
      </c>
      <c r="I36" s="10"/>
      <c r="J36" s="11">
        <v>1</v>
      </c>
      <c r="K36" s="191"/>
      <c r="L36" s="85"/>
      <c r="M36" s="8"/>
      <c r="N36" s="193"/>
      <c r="O36" s="192">
        <v>36892</v>
      </c>
      <c r="P36" s="12" t="s">
        <v>201</v>
      </c>
      <c r="Q36" s="111">
        <v>41227.464884259258</v>
      </c>
      <c r="R36" s="12" t="s">
        <v>202</v>
      </c>
      <c r="S36" s="12" t="str">
        <f t="shared" si="1"/>
        <v>[1],Open</v>
      </c>
      <c r="T36" s="12" t="str">
        <f t="shared" ca="1" si="2"/>
        <v>[8],None</v>
      </c>
      <c r="U36" t="str">
        <f t="shared" ca="1" si="3"/>
        <v>[8],None</v>
      </c>
      <c r="V36" t="str">
        <f t="shared" ca="1" si="4"/>
        <v>[5],Updated Over 3 Months Ago</v>
      </c>
      <c r="W36" t="b">
        <f t="shared" ca="1" si="5"/>
        <v>0</v>
      </c>
    </row>
    <row r="37" spans="2:23" ht="30.75" thickBot="1">
      <c r="B37" s="17"/>
      <c r="C37" s="18" t="s">
        <v>9</v>
      </c>
      <c r="D37" s="19">
        <v>5</v>
      </c>
      <c r="E37" s="199" t="s">
        <v>190</v>
      </c>
      <c r="F37" s="8"/>
      <c r="G37" s="9" t="s">
        <v>203</v>
      </c>
      <c r="H37" s="9" t="s">
        <v>204</v>
      </c>
      <c r="I37" s="10"/>
      <c r="J37" s="11"/>
      <c r="K37" s="191"/>
      <c r="L37" s="85"/>
      <c r="M37" s="8"/>
      <c r="N37" s="193"/>
      <c r="O37" s="192">
        <v>36892</v>
      </c>
      <c r="P37" s="12" t="s">
        <v>205</v>
      </c>
      <c r="Q37" s="111"/>
      <c r="R37" s="12"/>
      <c r="S37" s="12" t="str">
        <f t="shared" si="1"/>
        <v>[1],Open</v>
      </c>
      <c r="T37" s="12" t="str">
        <f t="shared" ca="1" si="2"/>
        <v>[8],None</v>
      </c>
      <c r="U37" t="str">
        <f t="shared" ca="1" si="3"/>
        <v>[8],None</v>
      </c>
      <c r="V37" t="str">
        <f t="shared" ca="1" si="4"/>
        <v>[5],Updated Over 3 Months Ago</v>
      </c>
      <c r="W37" t="b">
        <f t="shared" ca="1" si="5"/>
        <v>0</v>
      </c>
    </row>
    <row r="38" spans="2:23" ht="33" customHeight="1" thickTop="1">
      <c r="B38" s="204" t="s">
        <v>224</v>
      </c>
      <c r="C38" s="205"/>
      <c r="D38" s="205"/>
      <c r="E38" s="205"/>
      <c r="F38" s="205"/>
      <c r="G38" s="205"/>
      <c r="H38" s="205"/>
      <c r="I38" s="205"/>
      <c r="J38" s="205"/>
      <c r="K38" s="205"/>
      <c r="L38" s="205"/>
      <c r="M38" s="205"/>
      <c r="N38" s="205"/>
      <c r="O38" s="206"/>
      <c r="P38" s="12"/>
      <c r="Q38" s="111"/>
      <c r="R38" s="12"/>
      <c r="S38" s="12"/>
      <c r="T38" s="12"/>
    </row>
    <row r="39" spans="2:23" ht="30">
      <c r="B39" s="17"/>
      <c r="C39" s="18" t="s">
        <v>9</v>
      </c>
      <c r="D39" s="19">
        <v>7</v>
      </c>
      <c r="E39" s="199" t="s">
        <v>206</v>
      </c>
      <c r="F39" s="8"/>
      <c r="G39" s="9" t="s">
        <v>207</v>
      </c>
      <c r="H39" s="9" t="s">
        <v>208</v>
      </c>
      <c r="I39" s="10"/>
      <c r="J39" s="11"/>
      <c r="K39" s="191">
        <v>41640</v>
      </c>
      <c r="L39" s="85"/>
      <c r="M39" s="8"/>
      <c r="N39" s="193"/>
      <c r="O39" s="192">
        <v>36892</v>
      </c>
      <c r="P39" s="12" t="s">
        <v>209</v>
      </c>
      <c r="Q39" s="111"/>
      <c r="R39" s="12"/>
      <c r="S39" s="12" t="str">
        <f t="shared" si="1"/>
        <v>[1],Open</v>
      </c>
      <c r="T39" s="12" t="str">
        <f t="shared" ca="1" si="2"/>
        <v>[1],Past Due</v>
      </c>
      <c r="U39" t="str">
        <f t="shared" ca="1" si="3"/>
        <v>[8],None</v>
      </c>
      <c r="V39" t="str">
        <f t="shared" ca="1" si="4"/>
        <v>[5],Updated Over 3 Months Ago</v>
      </c>
      <c r="W39" t="b">
        <f t="shared" ca="1" si="5"/>
        <v>1</v>
      </c>
    </row>
    <row r="40" spans="2:23" ht="30">
      <c r="B40" s="17"/>
      <c r="C40" s="18" t="s">
        <v>9</v>
      </c>
      <c r="D40" s="19">
        <v>8</v>
      </c>
      <c r="E40" s="199" t="s">
        <v>206</v>
      </c>
      <c r="F40" s="8"/>
      <c r="G40" s="9" t="s">
        <v>210</v>
      </c>
      <c r="H40" s="9" t="s">
        <v>211</v>
      </c>
      <c r="I40" s="10"/>
      <c r="J40" s="11"/>
      <c r="K40" s="191"/>
      <c r="L40" s="85"/>
      <c r="M40" s="8"/>
      <c r="N40" s="193"/>
      <c r="O40" s="192">
        <v>36892</v>
      </c>
      <c r="P40" s="12" t="s">
        <v>212</v>
      </c>
      <c r="Q40" s="111"/>
      <c r="R40" s="12"/>
      <c r="S40" s="12" t="str">
        <f t="shared" si="1"/>
        <v>[1],Open</v>
      </c>
      <c r="T40" s="12" t="str">
        <f t="shared" ca="1" si="2"/>
        <v>[8],None</v>
      </c>
      <c r="U40" t="str">
        <f t="shared" ca="1" si="3"/>
        <v>[8],None</v>
      </c>
      <c r="V40" t="str">
        <f t="shared" ca="1" si="4"/>
        <v>[5],Updated Over 3 Months Ago</v>
      </c>
      <c r="W40" t="b">
        <f t="shared" ca="1" si="5"/>
        <v>0</v>
      </c>
    </row>
    <row r="41" spans="2:23" ht="30">
      <c r="B41" s="17"/>
      <c r="C41" s="18" t="s">
        <v>9</v>
      </c>
      <c r="D41" s="19">
        <v>9</v>
      </c>
      <c r="E41" s="199" t="s">
        <v>206</v>
      </c>
      <c r="F41" s="8"/>
      <c r="G41" s="9" t="s">
        <v>213</v>
      </c>
      <c r="H41" s="9" t="s">
        <v>214</v>
      </c>
      <c r="I41" s="10"/>
      <c r="J41" s="11"/>
      <c r="K41" s="191"/>
      <c r="L41" s="85"/>
      <c r="M41" s="8"/>
      <c r="N41" s="193"/>
      <c r="O41" s="192">
        <v>36892</v>
      </c>
      <c r="P41" s="12" t="s">
        <v>215</v>
      </c>
      <c r="Q41" s="111"/>
      <c r="R41" s="12"/>
      <c r="S41" s="12" t="str">
        <f t="shared" si="1"/>
        <v>[1],Open</v>
      </c>
      <c r="T41" s="12" t="str">
        <f t="shared" ca="1" si="2"/>
        <v>[8],None</v>
      </c>
      <c r="U41" t="str">
        <f t="shared" ca="1" si="3"/>
        <v>[8],None</v>
      </c>
      <c r="V41" t="str">
        <f t="shared" ca="1" si="4"/>
        <v>[5],Updated Over 3 Months Ago</v>
      </c>
      <c r="W41" t="b">
        <f t="shared" ca="1" si="5"/>
        <v>0</v>
      </c>
    </row>
    <row r="42" spans="2:23" ht="30.75" thickBot="1">
      <c r="B42" s="17"/>
      <c r="C42" s="18" t="s">
        <v>9</v>
      </c>
      <c r="D42" s="19">
        <v>10</v>
      </c>
      <c r="E42" s="199" t="s">
        <v>206</v>
      </c>
      <c r="F42" s="8"/>
      <c r="G42" s="9" t="s">
        <v>216</v>
      </c>
      <c r="H42" s="9" t="s">
        <v>217</v>
      </c>
      <c r="I42" s="10"/>
      <c r="J42" s="11"/>
      <c r="K42" s="191"/>
      <c r="L42" s="85"/>
      <c r="M42" s="8"/>
      <c r="N42" s="193"/>
      <c r="O42" s="192">
        <v>36892</v>
      </c>
      <c r="P42" s="12" t="s">
        <v>218</v>
      </c>
      <c r="Q42" s="111"/>
      <c r="R42" s="12"/>
      <c r="S42" s="12" t="str">
        <f t="shared" si="1"/>
        <v>[1],Open</v>
      </c>
      <c r="T42" s="12" t="str">
        <f t="shared" ca="1" si="2"/>
        <v>[8],None</v>
      </c>
      <c r="U42" t="str">
        <f t="shared" ca="1" si="3"/>
        <v>[8],None</v>
      </c>
      <c r="V42" t="str">
        <f t="shared" ca="1" si="4"/>
        <v>[5],Updated Over 3 Months Ago</v>
      </c>
      <c r="W42" t="b">
        <f t="shared" ca="1" si="5"/>
        <v>0</v>
      </c>
    </row>
    <row r="43" spans="2:23" ht="33" customHeight="1" thickTop="1">
      <c r="B43" s="201" t="s">
        <v>51</v>
      </c>
      <c r="C43" s="202"/>
      <c r="D43" s="202"/>
      <c r="E43" s="202"/>
      <c r="F43" s="202"/>
      <c r="G43" s="202"/>
      <c r="H43" s="202"/>
      <c r="I43" s="202"/>
      <c r="J43" s="202"/>
      <c r="K43" s="202"/>
      <c r="L43" s="202"/>
      <c r="M43" s="202"/>
      <c r="N43" s="202"/>
      <c r="O43" s="203"/>
      <c r="P43" s="12"/>
      <c r="Q43" s="111"/>
      <c r="R43" s="12"/>
      <c r="S43" s="12"/>
      <c r="T43" s="12"/>
    </row>
    <row r="44" spans="2:23" ht="30.75" thickBot="1">
      <c r="B44" s="17"/>
      <c r="C44" s="18" t="s">
        <v>10</v>
      </c>
      <c r="D44" s="19">
        <v>6</v>
      </c>
      <c r="E44" s="199" t="s">
        <v>206</v>
      </c>
      <c r="F44" s="8"/>
      <c r="G44" s="9" t="s">
        <v>219</v>
      </c>
      <c r="H44" s="9" t="s">
        <v>220</v>
      </c>
      <c r="I44" s="10"/>
      <c r="J44" s="11"/>
      <c r="K44" s="191"/>
      <c r="L44" s="85"/>
      <c r="M44" s="8"/>
      <c r="N44" s="193"/>
      <c r="O44" s="192">
        <v>36892</v>
      </c>
      <c r="P44" s="12" t="s">
        <v>221</v>
      </c>
      <c r="Q44" s="111"/>
      <c r="R44" s="12"/>
      <c r="S44" s="12" t="str">
        <f t="shared" si="1"/>
        <v>[9],Closed</v>
      </c>
      <c r="T44" s="12" t="str">
        <f t="shared" ca="1" si="2"/>
        <v>[9],Closed</v>
      </c>
      <c r="U44" t="str">
        <f t="shared" ca="1" si="3"/>
        <v>[9],Closed</v>
      </c>
      <c r="V44" t="str">
        <f t="shared" ca="1" si="4"/>
        <v>[9],Closed</v>
      </c>
      <c r="W44" t="b">
        <f t="shared" ca="1" si="5"/>
        <v>0</v>
      </c>
    </row>
    <row r="45" spans="2:23" ht="15.75" thickTop="1">
      <c r="B45" s="139" t="str">
        <f>"AI List (Action Item List) " &amp; IF(AI2003Version,"Excel 2003 Version:  ","") &amp; AIVersionNumAsText</f>
        <v>AI List (Action Item List) v5.13</v>
      </c>
      <c r="C45" s="2"/>
      <c r="D45" s="2"/>
      <c r="E45" s="3"/>
      <c r="F45" s="3"/>
      <c r="G45" s="3"/>
      <c r="H45" s="3"/>
      <c r="I45" s="3"/>
      <c r="J45" s="3"/>
      <c r="K45" s="3"/>
      <c r="L45" s="3"/>
      <c r="M45" s="3"/>
      <c r="N45" s="25"/>
      <c r="O45" s="143" t="str">
        <f>'&gt; HELP &lt;'!B29</f>
        <v>Standard Content © 2014 Excel Automation Help  |  Submit Automation Requests to Help@ExcelAutomationHelp.com</v>
      </c>
    </row>
    <row r="47" spans="2:23" ht="18.75" hidden="1">
      <c r="B47" s="146" t="s">
        <v>147</v>
      </c>
      <c r="C47" s="147"/>
      <c r="D47" s="147"/>
      <c r="E47" s="147"/>
      <c r="F47" s="147"/>
      <c r="G47" s="147"/>
      <c r="H47" s="147"/>
      <c r="I47" s="147"/>
      <c r="J47" s="147"/>
      <c r="K47" s="147"/>
      <c r="L47" s="147"/>
      <c r="M47" s="147"/>
      <c r="N47" s="147"/>
      <c r="O47" s="148"/>
    </row>
    <row r="48" spans="2:23" ht="15" hidden="1" customHeight="1" thickBot="1">
      <c r="B48" s="149"/>
      <c r="C48" s="150"/>
      <c r="D48" s="150"/>
      <c r="E48" s="151"/>
      <c r="F48" s="151"/>
      <c r="G48" s="151"/>
      <c r="H48" s="151"/>
      <c r="I48" s="151"/>
      <c r="J48" s="151"/>
      <c r="K48" s="151"/>
      <c r="L48" s="151"/>
      <c r="M48" s="151"/>
      <c r="N48" s="151"/>
      <c r="O48" s="152"/>
    </row>
    <row r="49" spans="2:15" hidden="1">
      <c r="B49" s="149"/>
      <c r="C49" s="150"/>
      <c r="D49" s="150"/>
      <c r="E49" s="168" t="s">
        <v>60</v>
      </c>
      <c r="F49" s="170" t="s">
        <v>0</v>
      </c>
      <c r="G49" s="171"/>
      <c r="H49" s="169" t="s">
        <v>2</v>
      </c>
      <c r="I49" s="169" t="s">
        <v>82</v>
      </c>
      <c r="J49" s="169" t="s">
        <v>3</v>
      </c>
      <c r="K49" s="171"/>
      <c r="L49" s="172" t="s">
        <v>4</v>
      </c>
      <c r="M49" s="171"/>
      <c r="N49" s="171"/>
      <c r="O49" s="177"/>
    </row>
    <row r="50" spans="2:15" hidden="1">
      <c r="B50" s="149"/>
      <c r="C50" s="150"/>
      <c r="D50" s="150"/>
      <c r="E50" s="173"/>
      <c r="F50" s="173" t="s">
        <v>117</v>
      </c>
      <c r="G50" s="151"/>
      <c r="H50" s="174"/>
      <c r="I50" s="173"/>
      <c r="J50" s="179"/>
      <c r="K50" s="151"/>
      <c r="L50" s="180"/>
      <c r="M50" s="151"/>
      <c r="N50" s="151"/>
      <c r="O50" s="177"/>
    </row>
    <row r="51" spans="2:15" hidden="1">
      <c r="B51" s="149"/>
      <c r="C51" s="150"/>
      <c r="D51" s="150"/>
      <c r="E51" s="156" t="s">
        <v>190</v>
      </c>
      <c r="F51" s="156"/>
      <c r="G51" s="151"/>
      <c r="H51" s="175" t="s">
        <v>117</v>
      </c>
      <c r="I51" s="156"/>
      <c r="J51" s="179">
        <v>1</v>
      </c>
      <c r="K51" s="151"/>
      <c r="L51" s="180" t="s">
        <v>181</v>
      </c>
      <c r="M51" s="151"/>
      <c r="N51" s="151"/>
      <c r="O51" s="152"/>
    </row>
    <row r="52" spans="2:15" hidden="1">
      <c r="B52" s="149"/>
      <c r="C52" s="150"/>
      <c r="D52" s="150"/>
      <c r="E52" s="156" t="s">
        <v>206</v>
      </c>
      <c r="F52" s="156"/>
      <c r="G52" s="151"/>
      <c r="H52" s="175"/>
      <c r="I52" s="156"/>
      <c r="J52" s="179">
        <v>2</v>
      </c>
      <c r="K52" s="151"/>
      <c r="L52" s="180" t="s">
        <v>184</v>
      </c>
      <c r="M52" s="151"/>
      <c r="N52" s="151"/>
      <c r="O52" s="152"/>
    </row>
    <row r="53" spans="2:15" hidden="1">
      <c r="B53" s="149"/>
      <c r="C53" s="150"/>
      <c r="D53" s="150"/>
      <c r="E53" s="156"/>
      <c r="F53" s="156"/>
      <c r="G53" s="151"/>
      <c r="H53" s="175"/>
      <c r="I53" s="156"/>
      <c r="J53" s="179">
        <v>3</v>
      </c>
      <c r="K53" s="151"/>
      <c r="L53" s="180" t="s">
        <v>183</v>
      </c>
      <c r="M53" s="151"/>
      <c r="N53" s="151"/>
      <c r="O53" s="152"/>
    </row>
    <row r="54" spans="2:15" hidden="1">
      <c r="B54" s="149"/>
      <c r="C54" s="150"/>
      <c r="D54" s="150"/>
      <c r="E54" s="156"/>
      <c r="F54" s="156"/>
      <c r="G54" s="151"/>
      <c r="H54" s="175"/>
      <c r="I54" s="156"/>
      <c r="J54" s="179" t="s">
        <v>178</v>
      </c>
      <c r="K54" s="151"/>
      <c r="L54" s="156" t="s">
        <v>182</v>
      </c>
      <c r="M54" s="151"/>
      <c r="N54" s="151"/>
      <c r="O54" s="152"/>
    </row>
    <row r="55" spans="2:15" hidden="1">
      <c r="B55" s="149"/>
      <c r="C55" s="150"/>
      <c r="D55" s="150"/>
      <c r="E55" s="156"/>
      <c r="F55" s="156"/>
      <c r="G55" s="151"/>
      <c r="H55" s="175"/>
      <c r="I55" s="156"/>
      <c r="J55" s="179" t="s">
        <v>187</v>
      </c>
      <c r="K55" s="151"/>
      <c r="L55" s="180" t="s">
        <v>178</v>
      </c>
      <c r="M55" s="151"/>
      <c r="N55" s="151"/>
      <c r="O55" s="152"/>
    </row>
    <row r="56" spans="2:15" hidden="1">
      <c r="B56" s="149"/>
      <c r="C56" s="150"/>
      <c r="D56" s="150"/>
      <c r="E56" s="156"/>
      <c r="F56" s="156"/>
      <c r="G56" s="151"/>
      <c r="H56" s="175"/>
      <c r="I56" s="156"/>
      <c r="J56" s="179" t="s">
        <v>179</v>
      </c>
      <c r="K56" s="151"/>
      <c r="L56" s="180" t="s">
        <v>185</v>
      </c>
      <c r="M56" s="151"/>
      <c r="N56" s="151"/>
      <c r="O56" s="177"/>
    </row>
    <row r="57" spans="2:15" hidden="1">
      <c r="B57" s="149"/>
      <c r="C57" s="150"/>
      <c r="D57" s="150"/>
      <c r="E57" s="156"/>
      <c r="F57" s="156"/>
      <c r="G57" s="151"/>
      <c r="H57" s="175"/>
      <c r="I57" s="156"/>
      <c r="J57" s="179" t="s">
        <v>116</v>
      </c>
      <c r="K57" s="151"/>
      <c r="L57" s="156" t="s">
        <v>179</v>
      </c>
      <c r="M57" s="151"/>
      <c r="N57" s="151"/>
      <c r="O57" s="152"/>
    </row>
    <row r="58" spans="2:15" hidden="1">
      <c r="B58" s="149"/>
      <c r="C58" s="150"/>
      <c r="D58" s="150"/>
      <c r="E58" s="156"/>
      <c r="F58" s="156"/>
      <c r="G58" s="151"/>
      <c r="H58" s="175"/>
      <c r="I58" s="156"/>
      <c r="J58" s="179" t="s">
        <v>180</v>
      </c>
      <c r="K58" s="151"/>
      <c r="L58" s="180" t="s">
        <v>226</v>
      </c>
      <c r="M58" s="151"/>
      <c r="N58" s="151"/>
      <c r="O58" s="152"/>
    </row>
    <row r="59" spans="2:15" hidden="1">
      <c r="B59" s="149"/>
      <c r="C59" s="150"/>
      <c r="D59" s="150"/>
      <c r="E59" s="156"/>
      <c r="F59" s="156"/>
      <c r="G59" s="151"/>
      <c r="H59" s="175"/>
      <c r="I59" s="156"/>
      <c r="J59" s="179"/>
      <c r="K59" s="151"/>
      <c r="L59" s="180" t="s">
        <v>180</v>
      </c>
      <c r="M59" s="151"/>
      <c r="N59" s="151"/>
      <c r="O59" s="152"/>
    </row>
    <row r="60" spans="2:15" hidden="1">
      <c r="B60" s="149"/>
      <c r="C60" s="150"/>
      <c r="D60" s="150"/>
      <c r="E60" s="156"/>
      <c r="F60" s="156"/>
      <c r="G60" s="151"/>
      <c r="H60" s="175"/>
      <c r="I60" s="156"/>
      <c r="J60" s="179"/>
      <c r="K60" s="151"/>
      <c r="L60" s="156"/>
      <c r="M60" s="151"/>
      <c r="N60" s="151"/>
      <c r="O60" s="152"/>
    </row>
    <row r="61" spans="2:15" hidden="1">
      <c r="B61" s="149"/>
      <c r="C61" s="150"/>
      <c r="D61" s="150"/>
      <c r="E61" s="156"/>
      <c r="F61" s="156"/>
      <c r="G61" s="151"/>
      <c r="H61" s="175"/>
      <c r="I61" s="156"/>
      <c r="J61" s="179"/>
      <c r="K61" s="151"/>
      <c r="L61" s="180"/>
      <c r="M61" s="151"/>
      <c r="N61" s="151"/>
      <c r="O61" s="152"/>
    </row>
    <row r="62" spans="2:15" hidden="1">
      <c r="B62" s="149"/>
      <c r="C62" s="150"/>
      <c r="D62" s="150"/>
      <c r="E62" s="156"/>
      <c r="F62" s="156"/>
      <c r="G62" s="151"/>
      <c r="H62" s="175"/>
      <c r="I62" s="156"/>
      <c r="J62" s="179"/>
      <c r="K62" s="151"/>
      <c r="L62" s="156"/>
      <c r="M62" s="151"/>
      <c r="N62" s="151"/>
      <c r="O62" s="152"/>
    </row>
    <row r="63" spans="2:15" hidden="1">
      <c r="B63" s="149"/>
      <c r="C63" s="150"/>
      <c r="D63" s="150"/>
      <c r="E63" s="156"/>
      <c r="F63" s="156"/>
      <c r="G63" s="151"/>
      <c r="H63" s="175"/>
      <c r="I63" s="156"/>
      <c r="J63" s="179"/>
      <c r="K63" s="151"/>
      <c r="L63" s="156"/>
      <c r="M63" s="151"/>
      <c r="N63" s="151"/>
      <c r="O63" s="152"/>
    </row>
    <row r="64" spans="2:15" hidden="1">
      <c r="B64" s="149"/>
      <c r="C64" s="150"/>
      <c r="D64" s="150"/>
      <c r="E64" s="156"/>
      <c r="F64" s="156"/>
      <c r="G64" s="151"/>
      <c r="H64" s="175"/>
      <c r="I64" s="156"/>
      <c r="J64" s="179"/>
      <c r="K64" s="151"/>
      <c r="L64" s="180"/>
      <c r="M64" s="151"/>
      <c r="N64" s="151"/>
      <c r="O64" s="152"/>
    </row>
    <row r="65" spans="2:15" hidden="1">
      <c r="B65" s="149"/>
      <c r="C65" s="150"/>
      <c r="D65" s="150"/>
      <c r="E65" s="156"/>
      <c r="F65" s="156"/>
      <c r="G65" s="151"/>
      <c r="H65" s="175"/>
      <c r="I65" s="156"/>
      <c r="J65" s="179"/>
      <c r="K65" s="151"/>
      <c r="L65" s="180"/>
      <c r="M65" s="151"/>
      <c r="N65" s="151"/>
      <c r="O65" s="152"/>
    </row>
    <row r="66" spans="2:15" hidden="1">
      <c r="B66" s="149"/>
      <c r="C66" s="150"/>
      <c r="D66" s="150"/>
      <c r="E66" s="156"/>
      <c r="F66" s="156"/>
      <c r="G66" s="151"/>
      <c r="H66" s="175"/>
      <c r="I66" s="156"/>
      <c r="J66" s="179"/>
      <c r="K66" s="151"/>
      <c r="L66" s="156"/>
      <c r="M66" s="151"/>
      <c r="N66" s="151"/>
      <c r="O66" s="152"/>
    </row>
    <row r="67" spans="2:15" hidden="1">
      <c r="B67" s="149"/>
      <c r="C67" s="150"/>
      <c r="D67" s="150"/>
      <c r="E67" s="156"/>
      <c r="F67" s="156"/>
      <c r="G67" s="151"/>
      <c r="H67" s="175"/>
      <c r="I67" s="156"/>
      <c r="J67" s="179"/>
      <c r="K67" s="151"/>
      <c r="L67" s="180"/>
      <c r="M67" s="151"/>
      <c r="N67" s="151"/>
      <c r="O67" s="152"/>
    </row>
    <row r="68" spans="2:15" hidden="1">
      <c r="B68" s="149"/>
      <c r="C68" s="150"/>
      <c r="D68" s="150"/>
      <c r="E68" s="156"/>
      <c r="F68" s="156"/>
      <c r="G68" s="151"/>
      <c r="H68" s="175"/>
      <c r="I68" s="156"/>
      <c r="J68" s="179"/>
      <c r="K68" s="151"/>
      <c r="L68" s="180"/>
      <c r="M68" s="151"/>
      <c r="N68" s="151"/>
      <c r="O68" s="152"/>
    </row>
    <row r="69" spans="2:15" hidden="1">
      <c r="B69" s="149"/>
      <c r="C69" s="150"/>
      <c r="D69" s="150"/>
      <c r="E69" s="156"/>
      <c r="F69" s="156"/>
      <c r="G69" s="151"/>
      <c r="H69" s="175"/>
      <c r="I69" s="156"/>
      <c r="J69" s="179"/>
      <c r="K69" s="151"/>
      <c r="L69" s="156"/>
      <c r="M69" s="151"/>
      <c r="N69" s="151"/>
      <c r="O69" s="152"/>
    </row>
    <row r="70" spans="2:15" hidden="1">
      <c r="B70" s="149"/>
      <c r="C70" s="150"/>
      <c r="D70" s="150"/>
      <c r="E70" s="156"/>
      <c r="F70" s="156"/>
      <c r="G70" s="151"/>
      <c r="H70" s="175"/>
      <c r="I70" s="156"/>
      <c r="J70" s="179"/>
      <c r="K70" s="151"/>
      <c r="L70" s="156"/>
      <c r="M70" s="151"/>
      <c r="N70" s="151"/>
      <c r="O70" s="152"/>
    </row>
    <row r="71" spans="2:15" hidden="1">
      <c r="B71" s="149"/>
      <c r="C71" s="150"/>
      <c r="D71" s="150"/>
      <c r="E71" s="156"/>
      <c r="F71" s="156"/>
      <c r="G71" s="151"/>
      <c r="H71" s="175"/>
      <c r="I71" s="156"/>
      <c r="J71" s="179"/>
      <c r="K71" s="151"/>
      <c r="L71" s="156"/>
      <c r="M71" s="151"/>
      <c r="N71" s="151"/>
      <c r="O71" s="152"/>
    </row>
    <row r="72" spans="2:15" hidden="1">
      <c r="B72" s="149"/>
      <c r="C72" s="150"/>
      <c r="D72" s="150"/>
      <c r="E72" s="156"/>
      <c r="F72" s="156"/>
      <c r="G72" s="151"/>
      <c r="H72" s="175"/>
      <c r="I72" s="156"/>
      <c r="J72" s="179"/>
      <c r="K72" s="151"/>
      <c r="L72" s="156"/>
      <c r="M72" s="151"/>
      <c r="N72" s="151"/>
      <c r="O72" s="152"/>
    </row>
    <row r="73" spans="2:15" hidden="1">
      <c r="B73" s="149"/>
      <c r="C73" s="150"/>
      <c r="D73" s="150"/>
      <c r="E73" s="156"/>
      <c r="F73" s="156"/>
      <c r="G73" s="151"/>
      <c r="H73" s="175"/>
      <c r="I73" s="156"/>
      <c r="J73" s="179"/>
      <c r="K73" s="151"/>
      <c r="L73" s="156"/>
      <c r="M73" s="151"/>
      <c r="N73" s="151"/>
      <c r="O73" s="152"/>
    </row>
    <row r="74" spans="2:15" hidden="1">
      <c r="B74" s="149"/>
      <c r="C74" s="150"/>
      <c r="D74" s="150"/>
      <c r="E74" s="156"/>
      <c r="F74" s="156"/>
      <c r="G74" s="151"/>
      <c r="H74" s="175"/>
      <c r="I74" s="156"/>
      <c r="J74" s="179"/>
      <c r="K74" s="151"/>
      <c r="L74" s="156"/>
      <c r="M74" s="151"/>
      <c r="N74" s="151"/>
      <c r="O74" s="152"/>
    </row>
    <row r="75" spans="2:15" hidden="1">
      <c r="B75" s="149"/>
      <c r="C75" s="150"/>
      <c r="D75" s="150"/>
      <c r="E75" s="156"/>
      <c r="F75" s="156"/>
      <c r="G75" s="151"/>
      <c r="H75" s="175"/>
      <c r="I75" s="156"/>
      <c r="J75" s="179"/>
      <c r="K75" s="151"/>
      <c r="L75" s="156"/>
      <c r="M75" s="151"/>
      <c r="N75" s="151"/>
      <c r="O75" s="152"/>
    </row>
    <row r="76" spans="2:15" hidden="1">
      <c r="B76" s="149"/>
      <c r="C76" s="150"/>
      <c r="D76" s="150"/>
      <c r="E76" s="156"/>
      <c r="F76" s="156"/>
      <c r="G76" s="151"/>
      <c r="H76" s="175"/>
      <c r="I76" s="156"/>
      <c r="J76" s="179"/>
      <c r="K76" s="151"/>
      <c r="L76" s="156"/>
      <c r="M76" s="151"/>
      <c r="N76" s="151"/>
      <c r="O76" s="152"/>
    </row>
    <row r="77" spans="2:15" hidden="1">
      <c r="B77" s="149"/>
      <c r="C77" s="150"/>
      <c r="D77" s="150"/>
      <c r="E77" s="156"/>
      <c r="F77" s="156"/>
      <c r="G77" s="151"/>
      <c r="H77" s="175"/>
      <c r="I77" s="156"/>
      <c r="J77" s="179"/>
      <c r="K77" s="151"/>
      <c r="L77" s="156"/>
      <c r="M77" s="151"/>
      <c r="N77" s="151"/>
      <c r="O77" s="152"/>
    </row>
    <row r="78" spans="2:15" hidden="1">
      <c r="B78" s="149"/>
      <c r="C78" s="150"/>
      <c r="D78" s="150"/>
      <c r="E78" s="156"/>
      <c r="F78" s="156"/>
      <c r="G78" s="151"/>
      <c r="H78" s="175"/>
      <c r="I78" s="156"/>
      <c r="J78" s="179"/>
      <c r="K78" s="151"/>
      <c r="L78" s="156"/>
      <c r="M78" s="151"/>
      <c r="N78" s="151"/>
      <c r="O78" s="152"/>
    </row>
    <row r="79" spans="2:15" hidden="1">
      <c r="B79" s="149"/>
      <c r="C79" s="150"/>
      <c r="D79" s="150"/>
      <c r="E79" s="156"/>
      <c r="F79" s="156"/>
      <c r="G79" s="151"/>
      <c r="H79" s="175"/>
      <c r="I79" s="156"/>
      <c r="J79" s="179"/>
      <c r="K79" s="151"/>
      <c r="L79" s="156"/>
      <c r="M79" s="151"/>
      <c r="N79" s="151"/>
      <c r="O79" s="152"/>
    </row>
    <row r="80" spans="2:15" hidden="1">
      <c r="B80" s="161"/>
      <c r="C80" s="162"/>
      <c r="D80" s="162"/>
      <c r="E80" s="156"/>
      <c r="F80" s="156"/>
      <c r="G80" s="151"/>
      <c r="H80" s="175"/>
      <c r="I80" s="156"/>
      <c r="J80" s="179"/>
      <c r="K80" s="151"/>
      <c r="L80" s="156"/>
      <c r="M80" s="151"/>
      <c r="N80" s="151"/>
      <c r="O80" s="163"/>
    </row>
    <row r="81" spans="2:23" ht="15.75" hidden="1" thickBot="1">
      <c r="B81" s="164"/>
      <c r="C81" s="165"/>
      <c r="D81" s="165"/>
      <c r="E81" s="166"/>
      <c r="F81" s="166"/>
      <c r="G81" s="166"/>
      <c r="H81" s="166"/>
      <c r="I81" s="166"/>
      <c r="J81" s="166"/>
      <c r="K81" s="166"/>
      <c r="L81" s="166"/>
      <c r="M81" s="166"/>
      <c r="N81" s="166"/>
      <c r="O81" s="167"/>
    </row>
    <row r="82" spans="2:23" ht="15.75" hidden="1" thickBot="1"/>
    <row r="83" spans="2:23" ht="18.75" hidden="1">
      <c r="B83" s="146" t="s">
        <v>144</v>
      </c>
      <c r="C83" s="147"/>
      <c r="D83" s="147"/>
      <c r="E83" s="147"/>
      <c r="F83" s="147"/>
      <c r="G83" s="147"/>
      <c r="H83" s="147"/>
      <c r="I83" s="147"/>
      <c r="J83" s="147"/>
      <c r="K83" s="147"/>
      <c r="L83" s="147"/>
      <c r="M83" s="147"/>
      <c r="N83" s="147"/>
      <c r="O83" s="148"/>
    </row>
    <row r="84" spans="2:23" hidden="1">
      <c r="B84" s="149"/>
      <c r="C84" s="150"/>
      <c r="D84" s="150"/>
      <c r="E84" s="151"/>
      <c r="F84" s="151"/>
      <c r="G84" s="151"/>
      <c r="H84" s="151"/>
      <c r="I84" s="151"/>
      <c r="J84" s="151"/>
      <c r="K84" s="151"/>
      <c r="L84" s="151"/>
      <c r="M84" s="151"/>
      <c r="N84" s="151"/>
      <c r="O84" s="152"/>
      <c r="P84" s="153"/>
      <c r="Q84" s="154"/>
      <c r="R84" s="153"/>
      <c r="S84" s="153"/>
      <c r="T84" s="153"/>
      <c r="U84" s="153"/>
      <c r="V84" s="153"/>
      <c r="W84" s="153"/>
    </row>
    <row r="85" spans="2:23" hidden="1">
      <c r="B85" s="155" t="s">
        <v>146</v>
      </c>
      <c r="C85" s="150"/>
      <c r="D85" s="150"/>
      <c r="E85" s="151"/>
      <c r="F85" s="151"/>
      <c r="G85" s="151"/>
      <c r="H85" s="151"/>
      <c r="I85" s="151"/>
      <c r="J85" s="151"/>
      <c r="K85" s="151"/>
      <c r="L85" s="151"/>
      <c r="M85" s="151"/>
      <c r="N85" s="151"/>
      <c r="O85" s="152"/>
      <c r="P85" s="153"/>
      <c r="Q85" s="154"/>
      <c r="R85" s="153"/>
      <c r="S85" s="153"/>
      <c r="T85" s="153"/>
      <c r="U85" s="153"/>
      <c r="V85" s="153"/>
      <c r="W85" s="153"/>
    </row>
    <row r="86" spans="2:23" hidden="1">
      <c r="B86" s="155"/>
      <c r="C86" s="156"/>
      <c r="D86" s="156"/>
      <c r="E86" s="157"/>
      <c r="F86" s="156"/>
      <c r="G86" s="156"/>
      <c r="H86" s="156"/>
      <c r="I86" s="156"/>
      <c r="J86" s="156"/>
      <c r="K86" s="156"/>
      <c r="L86" s="156"/>
      <c r="M86" s="156"/>
      <c r="N86" s="156"/>
      <c r="O86" s="158"/>
      <c r="P86" s="153"/>
      <c r="Q86" s="154"/>
      <c r="R86" s="153"/>
      <c r="S86" s="153"/>
      <c r="T86" s="153"/>
      <c r="U86" s="153"/>
      <c r="V86" s="153"/>
      <c r="W86" s="153"/>
    </row>
    <row r="87" spans="2:23" hidden="1">
      <c r="B87" s="155"/>
      <c r="C87" s="150"/>
      <c r="D87" s="150"/>
      <c r="E87" s="151"/>
      <c r="F87" s="151"/>
      <c r="G87" s="151"/>
      <c r="H87" s="151"/>
      <c r="I87" s="151"/>
      <c r="J87" s="151"/>
      <c r="K87" s="151"/>
      <c r="L87" s="151"/>
      <c r="M87" s="151"/>
      <c r="N87" s="151"/>
      <c r="O87" s="152"/>
      <c r="P87" s="153"/>
      <c r="Q87" s="154"/>
      <c r="R87" s="153"/>
      <c r="S87" s="153"/>
      <c r="T87" s="153"/>
      <c r="U87" s="153"/>
      <c r="V87" s="153"/>
      <c r="W87" s="153"/>
    </row>
    <row r="88" spans="2:23" hidden="1">
      <c r="B88" s="155" t="s">
        <v>145</v>
      </c>
      <c r="C88" s="150"/>
      <c r="D88" s="150"/>
      <c r="E88" s="151"/>
      <c r="F88" s="151"/>
      <c r="G88" s="151"/>
      <c r="H88" s="151"/>
      <c r="I88" s="151"/>
      <c r="J88" s="151"/>
      <c r="K88" s="151"/>
      <c r="L88" s="151"/>
      <c r="M88" s="151"/>
      <c r="N88" s="151"/>
      <c r="O88" s="152"/>
      <c r="P88" s="153"/>
      <c r="Q88" s="154"/>
      <c r="R88" s="153"/>
      <c r="S88" s="153"/>
      <c r="T88" s="153"/>
      <c r="U88" s="153"/>
      <c r="V88" s="153"/>
      <c r="W88" s="153"/>
    </row>
    <row r="89" spans="2:23" hidden="1">
      <c r="B89" s="149"/>
      <c r="C89" s="156"/>
      <c r="D89" s="156"/>
      <c r="E89" s="156"/>
      <c r="F89" s="156"/>
      <c r="G89" s="159"/>
      <c r="H89" s="156"/>
      <c r="I89" s="156"/>
      <c r="J89" s="156"/>
      <c r="K89" s="178"/>
      <c r="L89" s="157"/>
      <c r="M89" s="156"/>
      <c r="N89" s="160"/>
      <c r="O89" s="158"/>
      <c r="P89" s="153"/>
      <c r="Q89" s="154"/>
      <c r="R89" s="153"/>
      <c r="S89" s="153"/>
      <c r="T89" s="153"/>
      <c r="U89" s="153"/>
      <c r="V89" s="153"/>
      <c r="W89" s="153"/>
    </row>
    <row r="90" spans="2:23" hidden="1"/>
    <row r="92" spans="2:23">
      <c r="G92" s="84"/>
    </row>
  </sheetData>
  <sheetProtection password="CC0E" sheet="1" objects="1" scenarios="1" selectLockedCells="1"/>
  <sortState ref="L47:L57">
    <sortCondition ref="L47"/>
  </sortState>
  <dataConsolidate/>
  <mergeCells count="14">
    <mergeCell ref="B43:O43"/>
    <mergeCell ref="B38:O38"/>
    <mergeCell ref="B32:O32"/>
    <mergeCell ref="B30:O30"/>
    <mergeCell ref="B2:O2"/>
    <mergeCell ref="B29:D29"/>
    <mergeCell ref="B7:O7"/>
    <mergeCell ref="B5:O5"/>
    <mergeCell ref="B21:O21"/>
    <mergeCell ref="B23:N23"/>
    <mergeCell ref="B24:N24"/>
    <mergeCell ref="B25:N25"/>
    <mergeCell ref="B26:N26"/>
    <mergeCell ref="B27:N27"/>
  </mergeCells>
  <conditionalFormatting sqref="I1:K44">
    <cfRule type="expression" dxfId="13" priority="1" stopIfTrue="1">
      <formula>OR($J1="Review",AND($J1="Late",$C1&lt;&gt;AIClosed))</formula>
    </cfRule>
    <cfRule type="expression" dxfId="12" priority="4" stopIfTrue="1">
      <formula>$C1=AIClosed</formula>
    </cfRule>
    <cfRule type="expression" dxfId="11" priority="9" stopIfTrue="1">
      <formula>AND($C1&lt;&gt;AIClosed,OR($J1=1,$J1="Critical",$J1="High",$J1="Top",AND($K1&gt;0,$K1&lt;=TODAY())))</formula>
    </cfRule>
  </conditionalFormatting>
  <conditionalFormatting sqref="L1:M44">
    <cfRule type="expression" dxfId="10" priority="2" stopIfTrue="1">
      <formula>OR($L1="Review",AND($L1="Late",$C1&lt;&gt;AIClosed))</formula>
    </cfRule>
    <cfRule type="expression" dxfId="9" priority="5" stopIfTrue="1">
      <formula>$C1=AIClosed</formula>
    </cfRule>
  </conditionalFormatting>
  <conditionalFormatting sqref="E1:H44">
    <cfRule type="expression" dxfId="8" priority="3" stopIfTrue="1">
      <formula>$C1=AIClosed</formula>
    </cfRule>
  </conditionalFormatting>
  <conditionalFormatting sqref="B1:D44">
    <cfRule type="expression" dxfId="7" priority="6" stopIfTrue="1">
      <formula>$C1=AIClosed</formula>
    </cfRule>
  </conditionalFormatting>
  <conditionalFormatting sqref="N1:O44">
    <cfRule type="expression" dxfId="6" priority="7" stopIfTrue="1">
      <formula>$C1=AIClosed</formula>
    </cfRule>
  </conditionalFormatting>
  <conditionalFormatting sqref="I1:M44">
    <cfRule type="expression" dxfId="5" priority="8" stopIfTrue="1">
      <formula>OR($C1=AIClosed,$J1="Done",$J1="Hold",$J1="Cancel",$L1="Done",$L1="Hold",$L1="Cancel",$L1="Complete",$L1="100% Complete")</formula>
    </cfRule>
  </conditionalFormatting>
  <conditionalFormatting sqref="E1:M44">
    <cfRule type="expression" dxfId="4" priority="10" stopIfTrue="1">
      <formula>AND($B1="",CELL("row")=ROW())</formula>
    </cfRule>
    <cfRule type="expression" dxfId="3" priority="11" stopIfTrue="1">
      <formula>AND($C1=AIOpen,MOD(ROW(),2)=1)</formula>
    </cfRule>
  </conditionalFormatting>
  <dataValidations count="5">
    <dataValidation type="list" allowBlank="1" sqref="F89 F3 F44 F39:F42 F31 F33:F37">
      <formula1>"&lt;Enter any value&gt;"</formula1>
    </dataValidation>
    <dataValidation type="list" allowBlank="1" sqref="F18 I33:I37 F20 I3 I44 I39:I42 I31 F29">
      <formula1>AIDataValidationResp</formula1>
    </dataValidation>
    <dataValidation type="list" allowBlank="1" sqref="J3 J44 J39:J42 J31 J33:J37">
      <formula1>AIDataValidationPriority</formula1>
    </dataValidation>
    <dataValidation type="list" allowBlank="1" sqref="L3 L44 L39:L42 L31 L33:L37">
      <formula1>AIDataValidationStatus</formula1>
    </dataValidation>
    <dataValidation type="list" allowBlank="1" sqref="E3 E44 E39:E42 E31 E33:E37">
      <formula1>AIDataValidationCategory</formula1>
    </dataValidation>
  </dataValidations>
  <printOptions horizontalCentered="1"/>
  <pageMargins left="0.25" right="0.25" top="0.25" bottom="0.5" header="0.25" footer="0.25"/>
  <pageSetup scale="74" fitToHeight="0" orientation="landscape" r:id="rId1"/>
  <headerFooter>
    <oddFooter>&amp;L&amp;F&amp;CPage &amp;P of &amp;N&amp;RPrinted: &amp;D</oddFooter>
  </headerFooter>
  <drawing r:id="rId2"/>
  <legacyDrawing r:id="rId3"/>
  <controls>
    <control shapeId="1037" r:id="rId4" name="Button12"/>
    <control shapeId="1036" r:id="rId5" name="Button11"/>
    <control shapeId="1035" r:id="rId6" name="Button10"/>
    <control shapeId="1034" r:id="rId7" name="Button9"/>
    <control shapeId="1033" r:id="rId8" name="Button14"/>
    <control shapeId="1032" r:id="rId9" name="Button13"/>
    <control shapeId="1031" r:id="rId10" name="Button6"/>
    <control shapeId="1030" r:id="rId11" name="Button5"/>
    <control shapeId="1029" r:id="rId12" name="Button4"/>
    <control shapeId="1028" r:id="rId13" name="Button3"/>
    <control shapeId="1026" r:id="rId14" name="Button2"/>
    <control shapeId="1025" r:id="rId15" name="Button1"/>
  </controls>
</worksheet>
</file>

<file path=xl/worksheets/sheet2.xml><?xml version="1.0" encoding="utf-8"?>
<worksheet xmlns="http://schemas.openxmlformats.org/spreadsheetml/2006/main" xmlns:r="http://schemas.openxmlformats.org/officeDocument/2006/relationships">
  <sheetPr codeName="Sheet4">
    <tabColor theme="0" tint="-0.499984740745262"/>
  </sheetPr>
  <dimension ref="A1:CS16"/>
  <sheetViews>
    <sheetView showGridLines="0" showRowColHeaders="0" zoomScaleNormal="100" workbookViewId="0">
      <selection activeCell="I3" sqref="I3:O3"/>
    </sheetView>
  </sheetViews>
  <sheetFormatPr defaultRowHeight="15"/>
  <cols>
    <col min="1" max="1" width="0.7109375" customWidth="1"/>
    <col min="2" max="96" width="2.85546875" customWidth="1"/>
    <col min="97" max="97" width="0.28515625" customWidth="1"/>
  </cols>
  <sheetData>
    <row r="1" spans="1:97" ht="15.75" thickBot="1">
      <c r="A1" s="65"/>
      <c r="B1" s="65"/>
      <c r="C1" s="65"/>
      <c r="D1" s="65"/>
      <c r="E1" s="65"/>
      <c r="F1" s="65"/>
      <c r="G1" s="65"/>
      <c r="H1" s="65"/>
      <c r="I1" s="65"/>
      <c r="J1" s="65"/>
      <c r="K1" s="65"/>
      <c r="L1" s="65"/>
      <c r="M1" s="65"/>
      <c r="N1" s="65"/>
      <c r="O1" s="65"/>
      <c r="P1" s="65"/>
      <c r="Q1" s="65"/>
      <c r="R1" s="65"/>
      <c r="S1" s="65"/>
      <c r="T1" s="65"/>
      <c r="U1" s="65"/>
      <c r="V1" s="65"/>
      <c r="W1" s="65"/>
      <c r="X1" s="65"/>
      <c r="Y1" s="65"/>
      <c r="Z1" s="65"/>
      <c r="AA1" s="66"/>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66"/>
      <c r="BX1" s="66"/>
      <c r="BY1" s="66"/>
      <c r="BZ1" s="66"/>
      <c r="CA1" s="66"/>
      <c r="CB1" s="66"/>
      <c r="CC1" s="66"/>
      <c r="CD1" s="66"/>
      <c r="CE1" s="66"/>
      <c r="CF1" s="66"/>
      <c r="CG1" s="66"/>
      <c r="CH1" s="66"/>
      <c r="CI1" s="66"/>
      <c r="CJ1" s="66"/>
      <c r="CK1" s="66"/>
      <c r="CL1" s="66"/>
      <c r="CM1" s="66"/>
      <c r="CN1" s="66"/>
      <c r="CO1" s="66"/>
      <c r="CP1" s="66"/>
      <c r="CQ1" s="66"/>
      <c r="CR1" s="66"/>
      <c r="CS1" s="66"/>
    </row>
    <row r="2" spans="1:97">
      <c r="A2" s="65"/>
      <c r="B2" s="82"/>
      <c r="C2" s="67"/>
      <c r="D2" s="67"/>
      <c r="E2" s="67"/>
      <c r="F2" s="67"/>
      <c r="G2" s="68"/>
      <c r="H2" s="68" t="s">
        <v>17</v>
      </c>
      <c r="I2" s="224">
        <f ca="1">DATE(YEAR(TODAY()),MONTH(TODAY())-1,1)</f>
        <v>41913</v>
      </c>
      <c r="J2" s="225"/>
      <c r="K2" s="225"/>
      <c r="L2" s="225"/>
      <c r="M2" s="225"/>
      <c r="N2" s="225"/>
      <c r="O2" s="226"/>
      <c r="P2" s="65"/>
      <c r="Q2" s="65"/>
      <c r="R2" s="65"/>
      <c r="S2" s="65"/>
      <c r="T2" s="65"/>
      <c r="U2" s="65"/>
      <c r="V2" s="65"/>
      <c r="W2" s="65"/>
      <c r="X2" s="65"/>
      <c r="Y2" s="65"/>
      <c r="Z2" s="65"/>
      <c r="AA2" s="66"/>
      <c r="AB2" s="66"/>
      <c r="AC2" s="66"/>
      <c r="AD2" s="66"/>
      <c r="AE2" s="66"/>
      <c r="AF2" s="66"/>
      <c r="AG2" s="66"/>
      <c r="AH2" s="66"/>
      <c r="AI2" s="66"/>
      <c r="AJ2" s="66"/>
      <c r="AK2" s="66"/>
      <c r="AL2" s="66"/>
      <c r="AM2" s="66"/>
      <c r="AN2" s="66"/>
      <c r="AO2" s="66"/>
      <c r="AP2" s="66"/>
      <c r="AQ2" s="66"/>
      <c r="AR2" s="66"/>
      <c r="AS2" s="66"/>
      <c r="AT2" s="66"/>
      <c r="AU2" s="66"/>
      <c r="AV2" s="66"/>
      <c r="AW2" s="66"/>
      <c r="AX2" s="66"/>
      <c r="AY2" s="66"/>
      <c r="AZ2" s="66"/>
      <c r="BA2" s="66"/>
      <c r="BB2" s="66"/>
      <c r="BC2" s="66"/>
      <c r="BD2" s="66"/>
      <c r="BE2" s="66"/>
      <c r="BF2" s="66"/>
      <c r="BG2" s="66"/>
      <c r="BH2" s="66"/>
      <c r="BI2" s="66"/>
      <c r="BJ2" s="66"/>
      <c r="BK2" s="66"/>
      <c r="BL2" s="66"/>
      <c r="BM2" s="66"/>
      <c r="BN2" s="66"/>
      <c r="BO2" s="66"/>
      <c r="BP2" s="66"/>
      <c r="BQ2" s="66"/>
      <c r="BR2" s="66"/>
      <c r="BS2" s="66"/>
      <c r="BT2" s="66"/>
      <c r="BU2" s="66"/>
      <c r="BV2" s="66"/>
      <c r="BW2" s="66"/>
      <c r="BX2" s="66"/>
      <c r="BY2" s="66"/>
      <c r="BZ2" s="66"/>
      <c r="CA2" s="66"/>
      <c r="CB2" s="66"/>
      <c r="CC2" s="66"/>
      <c r="CD2" s="66"/>
      <c r="CE2" s="66"/>
      <c r="CF2" s="66"/>
      <c r="CG2" s="66"/>
      <c r="CH2" s="66"/>
      <c r="CI2" s="66"/>
      <c r="CJ2" s="66"/>
      <c r="CK2" s="66"/>
      <c r="CL2" s="66"/>
      <c r="CM2" s="66"/>
      <c r="CN2" s="66"/>
      <c r="CO2" s="66"/>
      <c r="CP2" s="66"/>
      <c r="CQ2" s="66"/>
      <c r="CR2" s="66"/>
      <c r="CS2" s="66"/>
    </row>
    <row r="3" spans="1:97" ht="15.75" thickBot="1">
      <c r="A3" s="65"/>
      <c r="B3" s="83"/>
      <c r="C3" s="69"/>
      <c r="D3" s="69"/>
      <c r="E3" s="69"/>
      <c r="F3" s="69"/>
      <c r="G3" s="69"/>
      <c r="H3" s="70" t="s">
        <v>18</v>
      </c>
      <c r="I3" s="227">
        <v>0</v>
      </c>
      <c r="J3" s="228"/>
      <c r="K3" s="228"/>
      <c r="L3" s="228"/>
      <c r="M3" s="228"/>
      <c r="N3" s="228"/>
      <c r="O3" s="229"/>
      <c r="P3" s="65"/>
      <c r="Q3" s="65"/>
      <c r="R3" s="65"/>
      <c r="S3" s="65"/>
      <c r="T3" s="65"/>
      <c r="U3" s="65"/>
      <c r="V3" s="65"/>
      <c r="W3" s="65"/>
      <c r="X3" s="65"/>
      <c r="Y3" s="65"/>
      <c r="Z3" s="65"/>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row>
    <row r="4" spans="1:97">
      <c r="A4" s="71"/>
      <c r="B4" s="71"/>
      <c r="C4" s="71"/>
      <c r="D4" s="71"/>
      <c r="E4" s="71"/>
      <c r="F4" s="71"/>
      <c r="G4" s="71"/>
      <c r="H4" s="71"/>
      <c r="I4" s="71"/>
      <c r="J4" s="71"/>
      <c r="K4" s="71"/>
      <c r="L4" s="71"/>
      <c r="M4" s="71"/>
      <c r="N4" s="71"/>
      <c r="O4" s="71"/>
      <c r="P4" s="71"/>
      <c r="Q4" s="71"/>
      <c r="R4" s="71"/>
      <c r="S4" s="71"/>
      <c r="T4" s="71"/>
      <c r="U4" s="71"/>
      <c r="V4" s="71"/>
      <c r="W4" s="71"/>
      <c r="X4" s="71"/>
      <c r="Y4" s="71"/>
      <c r="Z4" s="71"/>
      <c r="AA4" s="66"/>
      <c r="AB4" s="66"/>
      <c r="AC4" s="66"/>
      <c r="AD4" s="66"/>
      <c r="AE4" s="66"/>
      <c r="AF4" s="66"/>
      <c r="AG4" s="66"/>
      <c r="AH4" s="66"/>
      <c r="AI4" s="66"/>
      <c r="AJ4" s="66"/>
      <c r="AK4" s="66"/>
      <c r="AL4" s="66"/>
      <c r="AM4" s="66"/>
      <c r="AN4" s="66"/>
      <c r="AO4" s="66"/>
      <c r="AP4" s="66"/>
      <c r="AQ4" s="66"/>
      <c r="AR4" s="66"/>
      <c r="AS4" s="66"/>
      <c r="AT4" s="66"/>
      <c r="AU4" s="66"/>
      <c r="AV4" s="66"/>
      <c r="AW4" s="66"/>
      <c r="AX4" s="66"/>
      <c r="AY4" s="66"/>
      <c r="AZ4" s="66"/>
      <c r="BA4" s="66"/>
      <c r="BB4" s="66"/>
      <c r="BC4" s="66"/>
      <c r="BD4" s="66"/>
      <c r="BE4" s="66"/>
      <c r="BF4" s="66"/>
      <c r="BG4" s="66"/>
      <c r="BH4" s="66"/>
      <c r="BI4" s="66"/>
      <c r="BJ4" s="66"/>
      <c r="BK4" s="66"/>
      <c r="BL4" s="66"/>
      <c r="BM4" s="66"/>
      <c r="BN4" s="66"/>
      <c r="BO4" s="66"/>
      <c r="BP4" s="66"/>
      <c r="BQ4" s="66"/>
      <c r="BR4" s="66"/>
      <c r="BS4" s="66"/>
      <c r="BT4" s="66"/>
      <c r="BU4" s="66"/>
      <c r="BV4" s="66"/>
      <c r="BW4" s="66"/>
      <c r="BX4" s="66"/>
      <c r="BY4" s="66"/>
      <c r="BZ4" s="66"/>
      <c r="CA4" s="66"/>
      <c r="CB4" s="66"/>
      <c r="CC4" s="66"/>
      <c r="CD4" s="66"/>
      <c r="CE4" s="66"/>
      <c r="CF4" s="66"/>
      <c r="CG4" s="66"/>
      <c r="CH4" s="66"/>
      <c r="CI4" s="66"/>
      <c r="CJ4" s="66"/>
      <c r="CK4" s="66"/>
      <c r="CL4" s="66"/>
      <c r="CM4" s="66"/>
      <c r="CN4" s="66"/>
      <c r="CO4" s="66"/>
      <c r="CP4" s="66"/>
      <c r="CQ4" s="66"/>
      <c r="CR4" s="66"/>
      <c r="CS4" s="66"/>
    </row>
    <row r="5" spans="1:97" ht="1.5" customHeight="1" thickBot="1">
      <c r="A5" s="72"/>
      <c r="B5" s="72"/>
      <c r="C5" s="72"/>
      <c r="D5" s="72"/>
      <c r="E5" s="72"/>
      <c r="F5" s="72"/>
      <c r="G5" s="72"/>
      <c r="H5" s="72"/>
      <c r="I5" s="72"/>
      <c r="J5" s="72"/>
      <c r="K5" s="72"/>
      <c r="L5" s="72"/>
      <c r="M5" s="72"/>
      <c r="N5" s="72"/>
      <c r="O5" s="72"/>
      <c r="P5" s="72"/>
      <c r="Q5" s="72"/>
      <c r="R5" s="72"/>
      <c r="S5" s="72"/>
      <c r="T5" s="72"/>
      <c r="U5" s="72"/>
      <c r="V5" s="72"/>
      <c r="W5" s="72"/>
      <c r="X5" s="72"/>
      <c r="Y5" s="72"/>
      <c r="Z5" s="72"/>
      <c r="AA5" s="72"/>
      <c r="AB5" s="72"/>
      <c r="AC5" s="72"/>
      <c r="AD5" s="72"/>
      <c r="AE5" s="72"/>
      <c r="AF5" s="72"/>
      <c r="AG5" s="72"/>
      <c r="AH5" s="72"/>
      <c r="AI5" s="72"/>
      <c r="AJ5" s="72"/>
      <c r="AK5" s="72"/>
      <c r="AL5" s="72"/>
      <c r="AM5" s="72"/>
      <c r="AN5" s="72"/>
      <c r="AO5" s="72"/>
      <c r="AP5" s="72"/>
      <c r="AQ5" s="72"/>
      <c r="AR5" s="72"/>
      <c r="AS5" s="72"/>
      <c r="AT5" s="72"/>
      <c r="AU5" s="72"/>
      <c r="AV5" s="72"/>
      <c r="AW5" s="72"/>
      <c r="AX5" s="72"/>
      <c r="AY5" s="72"/>
      <c r="AZ5" s="72"/>
      <c r="BA5" s="72"/>
      <c r="BB5" s="72"/>
      <c r="BC5" s="72"/>
      <c r="BD5" s="72"/>
      <c r="BE5" s="72"/>
      <c r="BF5" s="72"/>
      <c r="BG5" s="72"/>
      <c r="BH5" s="72"/>
      <c r="BI5" s="72"/>
      <c r="BJ5" s="72"/>
      <c r="BK5" s="72"/>
      <c r="BL5" s="72"/>
      <c r="BM5" s="72"/>
      <c r="BN5" s="72"/>
      <c r="BO5" s="72"/>
      <c r="BP5" s="72"/>
      <c r="BQ5" s="72"/>
      <c r="BR5" s="72"/>
      <c r="BS5" s="72"/>
      <c r="BT5" s="72"/>
      <c r="BU5" s="72"/>
      <c r="BV5" s="72"/>
      <c r="BW5" s="72"/>
      <c r="BX5" s="72"/>
      <c r="BY5" s="72"/>
      <c r="BZ5" s="72"/>
      <c r="CA5" s="72"/>
      <c r="CB5" s="72"/>
      <c r="CC5" s="72"/>
      <c r="CD5" s="72"/>
      <c r="CE5" s="72"/>
      <c r="CF5" s="72"/>
      <c r="CG5" s="72"/>
      <c r="CH5" s="72"/>
      <c r="CI5" s="72"/>
      <c r="CJ5" s="72"/>
      <c r="CK5" s="72"/>
      <c r="CL5" s="72"/>
      <c r="CM5" s="72"/>
      <c r="CN5" s="72"/>
      <c r="CO5" s="72"/>
      <c r="CP5" s="72"/>
      <c r="CQ5" s="72"/>
      <c r="CR5" s="72"/>
      <c r="CS5" s="72"/>
    </row>
    <row r="6" spans="1:97">
      <c r="A6" s="72"/>
      <c r="B6" s="221">
        <f ca="1">DATE(YEAR(I2),MONTH(I2)+I3,1)</f>
        <v>41913</v>
      </c>
      <c r="C6" s="222"/>
      <c r="D6" s="222"/>
      <c r="E6" s="222"/>
      <c r="F6" s="222"/>
      <c r="G6" s="222"/>
      <c r="H6" s="223"/>
      <c r="I6" s="131"/>
      <c r="J6" s="221">
        <f ca="1">DATE(YEAR(B6),MONTH(B6)+1,DAY(B6))</f>
        <v>41944</v>
      </c>
      <c r="K6" s="222"/>
      <c r="L6" s="222"/>
      <c r="M6" s="222"/>
      <c r="N6" s="222"/>
      <c r="O6" s="222"/>
      <c r="P6" s="223"/>
      <c r="Q6" s="125"/>
      <c r="R6" s="221">
        <f ca="1">DATE(YEAR(J6),MONTH(J6)+1,DAY(J6))</f>
        <v>41974</v>
      </c>
      <c r="S6" s="222"/>
      <c r="T6" s="222"/>
      <c r="U6" s="222"/>
      <c r="V6" s="222"/>
      <c r="W6" s="222"/>
      <c r="X6" s="223"/>
      <c r="Y6" s="125"/>
      <c r="Z6" s="221">
        <f ca="1">DATE(YEAR(R6),MONTH(R6)+1,DAY(R6))</f>
        <v>42005</v>
      </c>
      <c r="AA6" s="222"/>
      <c r="AB6" s="222"/>
      <c r="AC6" s="222"/>
      <c r="AD6" s="222"/>
      <c r="AE6" s="222"/>
      <c r="AF6" s="223"/>
      <c r="AG6" s="131"/>
      <c r="AH6" s="221">
        <f ca="1">DATE(YEAR(Z6),MONTH(Z6)+1,DAY(Z6))</f>
        <v>42036</v>
      </c>
      <c r="AI6" s="222"/>
      <c r="AJ6" s="222"/>
      <c r="AK6" s="222"/>
      <c r="AL6" s="222"/>
      <c r="AM6" s="222"/>
      <c r="AN6" s="223"/>
      <c r="AO6" s="125"/>
      <c r="AP6" s="221">
        <f ca="1">DATE(YEAR(AH6),MONTH(AH6)+1,DAY(AH6))</f>
        <v>42064</v>
      </c>
      <c r="AQ6" s="222"/>
      <c r="AR6" s="222"/>
      <c r="AS6" s="222"/>
      <c r="AT6" s="222"/>
      <c r="AU6" s="222"/>
      <c r="AV6" s="223"/>
      <c r="AW6" s="73"/>
      <c r="AX6" s="221">
        <f ca="1">DATE(YEAR(AP6),MONTH(AP6)+1,DAY(AP6))</f>
        <v>42095</v>
      </c>
      <c r="AY6" s="222"/>
      <c r="AZ6" s="222"/>
      <c r="BA6" s="222"/>
      <c r="BB6" s="222"/>
      <c r="BC6" s="222"/>
      <c r="BD6" s="223"/>
      <c r="BE6" s="131"/>
      <c r="BF6" s="221">
        <f ca="1">DATE(YEAR(AX6),MONTH(AX6)+1,DAY(AX6))</f>
        <v>42125</v>
      </c>
      <c r="BG6" s="222"/>
      <c r="BH6" s="222"/>
      <c r="BI6" s="222"/>
      <c r="BJ6" s="222"/>
      <c r="BK6" s="222"/>
      <c r="BL6" s="223"/>
      <c r="BM6" s="125"/>
      <c r="BN6" s="221">
        <f ca="1">DATE(YEAR(BF6),MONTH(BF6)+1,DAY(BF6))</f>
        <v>42156</v>
      </c>
      <c r="BO6" s="222"/>
      <c r="BP6" s="222"/>
      <c r="BQ6" s="222"/>
      <c r="BR6" s="222"/>
      <c r="BS6" s="222"/>
      <c r="BT6" s="223"/>
      <c r="BU6" s="125"/>
      <c r="BV6" s="221">
        <f ca="1">DATE(YEAR(BN6),MONTH(BN6)+1,DAY(BN6))</f>
        <v>42186</v>
      </c>
      <c r="BW6" s="222"/>
      <c r="BX6" s="222"/>
      <c r="BY6" s="222"/>
      <c r="BZ6" s="222"/>
      <c r="CA6" s="222"/>
      <c r="CB6" s="223"/>
      <c r="CC6" s="131"/>
      <c r="CD6" s="221">
        <f ca="1">DATE(YEAR(BV6),MONTH(BV6)+1,DAY(BV6))</f>
        <v>42217</v>
      </c>
      <c r="CE6" s="222"/>
      <c r="CF6" s="222"/>
      <c r="CG6" s="222"/>
      <c r="CH6" s="222"/>
      <c r="CI6" s="222"/>
      <c r="CJ6" s="223"/>
      <c r="CK6" s="125"/>
      <c r="CL6" s="221">
        <f ca="1">DATE(YEAR(CD6),MONTH(CD6)+1,DAY(CD6))</f>
        <v>42248</v>
      </c>
      <c r="CM6" s="222"/>
      <c r="CN6" s="222"/>
      <c r="CO6" s="222"/>
      <c r="CP6" s="222"/>
      <c r="CQ6" s="222"/>
      <c r="CR6" s="223"/>
      <c r="CS6" s="72"/>
    </row>
    <row r="7" spans="1:97" ht="12" customHeight="1">
      <c r="A7" s="72"/>
      <c r="B7" s="116" t="s">
        <v>19</v>
      </c>
      <c r="C7" s="95" t="s">
        <v>20</v>
      </c>
      <c r="D7" s="95" t="s">
        <v>21</v>
      </c>
      <c r="E7" s="95" t="s">
        <v>22</v>
      </c>
      <c r="F7" s="95" t="s">
        <v>21</v>
      </c>
      <c r="G7" s="95" t="s">
        <v>23</v>
      </c>
      <c r="H7" s="117" t="s">
        <v>19</v>
      </c>
      <c r="I7" s="132"/>
      <c r="J7" s="116" t="s">
        <v>19</v>
      </c>
      <c r="K7" s="95" t="s">
        <v>20</v>
      </c>
      <c r="L7" s="95" t="s">
        <v>21</v>
      </c>
      <c r="M7" s="95" t="s">
        <v>22</v>
      </c>
      <c r="N7" s="95" t="s">
        <v>21</v>
      </c>
      <c r="O7" s="95" t="s">
        <v>23</v>
      </c>
      <c r="P7" s="117" t="s">
        <v>19</v>
      </c>
      <c r="Q7" s="126"/>
      <c r="R7" s="116" t="s">
        <v>19</v>
      </c>
      <c r="S7" s="95" t="s">
        <v>20</v>
      </c>
      <c r="T7" s="95" t="s">
        <v>21</v>
      </c>
      <c r="U7" s="95" t="s">
        <v>22</v>
      </c>
      <c r="V7" s="95" t="s">
        <v>21</v>
      </c>
      <c r="W7" s="95" t="s">
        <v>23</v>
      </c>
      <c r="X7" s="117" t="s">
        <v>19</v>
      </c>
      <c r="Y7" s="129"/>
      <c r="Z7" s="116" t="s">
        <v>19</v>
      </c>
      <c r="AA7" s="95" t="s">
        <v>20</v>
      </c>
      <c r="AB7" s="95" t="s">
        <v>21</v>
      </c>
      <c r="AC7" s="95" t="s">
        <v>22</v>
      </c>
      <c r="AD7" s="95" t="s">
        <v>21</v>
      </c>
      <c r="AE7" s="95" t="s">
        <v>23</v>
      </c>
      <c r="AF7" s="117" t="s">
        <v>19</v>
      </c>
      <c r="AG7" s="132"/>
      <c r="AH7" s="116" t="s">
        <v>19</v>
      </c>
      <c r="AI7" s="95" t="s">
        <v>20</v>
      </c>
      <c r="AJ7" s="95" t="s">
        <v>21</v>
      </c>
      <c r="AK7" s="95" t="s">
        <v>22</v>
      </c>
      <c r="AL7" s="95" t="s">
        <v>21</v>
      </c>
      <c r="AM7" s="95" t="s">
        <v>23</v>
      </c>
      <c r="AN7" s="117" t="s">
        <v>19</v>
      </c>
      <c r="AO7" s="126"/>
      <c r="AP7" s="116" t="s">
        <v>19</v>
      </c>
      <c r="AQ7" s="95" t="s">
        <v>20</v>
      </c>
      <c r="AR7" s="95" t="s">
        <v>21</v>
      </c>
      <c r="AS7" s="95" t="s">
        <v>22</v>
      </c>
      <c r="AT7" s="95" t="s">
        <v>21</v>
      </c>
      <c r="AU7" s="95" t="s">
        <v>23</v>
      </c>
      <c r="AV7" s="117" t="s">
        <v>19</v>
      </c>
      <c r="AW7" s="74"/>
      <c r="AX7" s="116" t="s">
        <v>19</v>
      </c>
      <c r="AY7" s="95" t="s">
        <v>20</v>
      </c>
      <c r="AZ7" s="95" t="s">
        <v>21</v>
      </c>
      <c r="BA7" s="95" t="s">
        <v>22</v>
      </c>
      <c r="BB7" s="95" t="s">
        <v>21</v>
      </c>
      <c r="BC7" s="95" t="s">
        <v>23</v>
      </c>
      <c r="BD7" s="117" t="s">
        <v>19</v>
      </c>
      <c r="BE7" s="132"/>
      <c r="BF7" s="116" t="s">
        <v>19</v>
      </c>
      <c r="BG7" s="95" t="s">
        <v>20</v>
      </c>
      <c r="BH7" s="95" t="s">
        <v>21</v>
      </c>
      <c r="BI7" s="95" t="s">
        <v>22</v>
      </c>
      <c r="BJ7" s="95" t="s">
        <v>21</v>
      </c>
      <c r="BK7" s="95" t="s">
        <v>23</v>
      </c>
      <c r="BL7" s="117" t="s">
        <v>19</v>
      </c>
      <c r="BM7" s="126"/>
      <c r="BN7" s="116" t="s">
        <v>19</v>
      </c>
      <c r="BO7" s="95" t="s">
        <v>20</v>
      </c>
      <c r="BP7" s="95" t="s">
        <v>21</v>
      </c>
      <c r="BQ7" s="95" t="s">
        <v>22</v>
      </c>
      <c r="BR7" s="95" t="s">
        <v>21</v>
      </c>
      <c r="BS7" s="95" t="s">
        <v>23</v>
      </c>
      <c r="BT7" s="117" t="s">
        <v>19</v>
      </c>
      <c r="BU7" s="129"/>
      <c r="BV7" s="116" t="s">
        <v>19</v>
      </c>
      <c r="BW7" s="95" t="s">
        <v>20</v>
      </c>
      <c r="BX7" s="95" t="s">
        <v>21</v>
      </c>
      <c r="BY7" s="95" t="s">
        <v>22</v>
      </c>
      <c r="BZ7" s="95" t="s">
        <v>21</v>
      </c>
      <c r="CA7" s="95" t="s">
        <v>23</v>
      </c>
      <c r="CB7" s="117" t="s">
        <v>19</v>
      </c>
      <c r="CC7" s="132"/>
      <c r="CD7" s="116" t="s">
        <v>19</v>
      </c>
      <c r="CE7" s="95" t="s">
        <v>20</v>
      </c>
      <c r="CF7" s="95" t="s">
        <v>21</v>
      </c>
      <c r="CG7" s="95" t="s">
        <v>22</v>
      </c>
      <c r="CH7" s="95" t="s">
        <v>21</v>
      </c>
      <c r="CI7" s="95" t="s">
        <v>23</v>
      </c>
      <c r="CJ7" s="117" t="s">
        <v>19</v>
      </c>
      <c r="CK7" s="126"/>
      <c r="CL7" s="116" t="s">
        <v>19</v>
      </c>
      <c r="CM7" s="95" t="s">
        <v>20</v>
      </c>
      <c r="CN7" s="95" t="s">
        <v>21</v>
      </c>
      <c r="CO7" s="95" t="s">
        <v>22</v>
      </c>
      <c r="CP7" s="95" t="s">
        <v>21</v>
      </c>
      <c r="CQ7" s="95" t="s">
        <v>23</v>
      </c>
      <c r="CR7" s="117" t="s">
        <v>19</v>
      </c>
      <c r="CS7" s="72"/>
    </row>
    <row r="8" spans="1:97" ht="12" customHeight="1">
      <c r="A8" s="72"/>
      <c r="B8" s="118" t="str">
        <f ca="1">IF(WEEKDAY(B6)=1,B6,IF(B6&lt;TODAY(),""," "))</f>
        <v/>
      </c>
      <c r="C8" s="94" t="str">
        <f ca="1">IF(WEEKDAY(B6)=2,B6,IF(ISNUMBER(B8),B8+1,IF(B6&lt;TODAY(),""," ")))</f>
        <v/>
      </c>
      <c r="D8" s="94" t="str">
        <f ca="1">IF(WEEKDAY(B6)=3,B6,IF(ISNUMBER(C8),C8+1,IF(B6&lt;TODAY(),""," ")))</f>
        <v/>
      </c>
      <c r="E8" s="94">
        <f ca="1">IF(WEEKDAY(B6)=4,B6,IF(ISNUMBER(D8),D8+1,IF(B6&lt;TODAY(),""," ")))</f>
        <v>41913</v>
      </c>
      <c r="F8" s="94">
        <f ca="1">IF(WEEKDAY(B6)=5,B6,IF(ISNUMBER(E8),E8+1,IF(B6&lt;TODAY(),""," ")))</f>
        <v>41914</v>
      </c>
      <c r="G8" s="94">
        <f ca="1">IF(WEEKDAY(B6)=6,B6,IF(ISNUMBER(F8),F8+1,IF(B6&lt;TODAY(),""," ")))</f>
        <v>41915</v>
      </c>
      <c r="H8" s="119">
        <f ca="1">IF(WEEKDAY(B6)=7,B6,IF(ISNUMBER(G8),G8+1,IF(B6&lt;TODAY(),""," ")))</f>
        <v>41916</v>
      </c>
      <c r="I8" s="133"/>
      <c r="J8" s="118" t="str">
        <f ca="1">IF(WEEKDAY(J6)=1,J6,IF(J6&lt;TODAY(),""," "))</f>
        <v/>
      </c>
      <c r="K8" s="94" t="str">
        <f ca="1">IF(WEEKDAY(J6)=2,J6,IF(ISNUMBER(J8),J8+1,IF(J6&lt;TODAY(),""," ")))</f>
        <v/>
      </c>
      <c r="L8" s="94" t="str">
        <f ca="1">IF(WEEKDAY(J6)=3,J6,IF(ISNUMBER(K8),K8+1,IF(J6&lt;TODAY(),""," ")))</f>
        <v/>
      </c>
      <c r="M8" s="94" t="str">
        <f ca="1">IF(WEEKDAY(J6)=4,J6,IF(ISNUMBER(L8),L8+1,IF(J6&lt;TODAY(),""," ")))</f>
        <v/>
      </c>
      <c r="N8" s="94" t="str">
        <f ca="1">IF(WEEKDAY(J6)=5,J6,IF(ISNUMBER(M8),M8+1,IF(J6&lt;TODAY(),""," ")))</f>
        <v/>
      </c>
      <c r="O8" s="94" t="str">
        <f ca="1">IF(WEEKDAY(J6)=6,J6,IF(ISNUMBER(N8),N8+1,IF(J6&lt;TODAY(),""," ")))</f>
        <v/>
      </c>
      <c r="P8" s="119">
        <f ca="1">IF(WEEKDAY(J6)=7,J6,IF(ISNUMBER(O8),O8+1,IF(J6&lt;TODAY(),""," ")))</f>
        <v>41944</v>
      </c>
      <c r="Q8" s="127"/>
      <c r="R8" s="118" t="str">
        <f ca="1">IF(WEEKDAY(R6)=1,R6,IF(R6&lt;TODAY(),""," "))</f>
        <v xml:space="preserve"> </v>
      </c>
      <c r="S8" s="94">
        <f ca="1">IF(WEEKDAY(R6)=2,R6,IF(ISNUMBER(R8),R8+1,IF(R6&lt;TODAY(),""," ")))</f>
        <v>41974</v>
      </c>
      <c r="T8" s="94">
        <f ca="1">IF(WEEKDAY(R6)=3,R6,IF(ISNUMBER(S8),S8+1,IF(R6&lt;TODAY(),""," ")))</f>
        <v>41975</v>
      </c>
      <c r="U8" s="94">
        <f ca="1">IF(WEEKDAY(R6)=4,R6,IF(ISNUMBER(T8),T8+1,IF(R6&lt;TODAY(),""," ")))</f>
        <v>41976</v>
      </c>
      <c r="V8" s="94">
        <f ca="1">IF(WEEKDAY(R6)=5,R6,IF(ISNUMBER(U8),U8+1,IF(R6&lt;TODAY(),""," ")))</f>
        <v>41977</v>
      </c>
      <c r="W8" s="94">
        <f ca="1">IF(WEEKDAY(R6)=6,R6,IF(ISNUMBER(V8),V8+1,IF(R6&lt;TODAY(),""," ")))</f>
        <v>41978</v>
      </c>
      <c r="X8" s="119">
        <f ca="1">IF(WEEKDAY(R6)=7,R6,IF(ISNUMBER(W8),W8+1,IF(R6&lt;TODAY(),""," ")))</f>
        <v>41979</v>
      </c>
      <c r="Y8" s="130"/>
      <c r="Z8" s="118" t="str">
        <f ca="1">IF(WEEKDAY(Z6)=1,Z6,IF(Z6&lt;TODAY(),""," "))</f>
        <v xml:space="preserve"> </v>
      </c>
      <c r="AA8" s="94" t="str">
        <f ca="1">IF(WEEKDAY(Z6)=2,Z6,IF(ISNUMBER(Z8),Z8+1,IF(Z6&lt;TODAY(),""," ")))</f>
        <v xml:space="preserve"> </v>
      </c>
      <c r="AB8" s="94" t="str">
        <f ca="1">IF(WEEKDAY(Z6)=3,Z6,IF(ISNUMBER(AA8),AA8+1,IF(Z6&lt;TODAY(),""," ")))</f>
        <v xml:space="preserve"> </v>
      </c>
      <c r="AC8" s="94" t="str">
        <f ca="1">IF(WEEKDAY(Z6)=4,Z6,IF(ISNUMBER(AB8),AB8+1,IF(Z6&lt;TODAY(),""," ")))</f>
        <v xml:space="preserve"> </v>
      </c>
      <c r="AD8" s="94">
        <f ca="1">IF(WEEKDAY(Z6)=5,Z6,IF(ISNUMBER(AC8),AC8+1,IF(Z6&lt;TODAY(),""," ")))</f>
        <v>42005</v>
      </c>
      <c r="AE8" s="94">
        <f ca="1">IF(WEEKDAY(Z6)=6,Z6,IF(ISNUMBER(AD8),AD8+1,IF(Z6&lt;TODAY(),""," ")))</f>
        <v>42006</v>
      </c>
      <c r="AF8" s="119">
        <f ca="1">IF(WEEKDAY(Z6)=7,Z6,IF(ISNUMBER(AE8),AE8+1,IF(Z6&lt;TODAY(),""," ")))</f>
        <v>42007</v>
      </c>
      <c r="AG8" s="133"/>
      <c r="AH8" s="118">
        <f ca="1">IF(WEEKDAY(AH6)=1,AH6,IF(AH6&lt;TODAY(),""," "))</f>
        <v>42036</v>
      </c>
      <c r="AI8" s="94">
        <f ca="1">IF(WEEKDAY(AH6)=2,AH6,IF(ISNUMBER(AH8),AH8+1,IF(AH6&lt;TODAY(),""," ")))</f>
        <v>42037</v>
      </c>
      <c r="AJ8" s="94">
        <f ca="1">IF(WEEKDAY(AH6)=3,AH6,IF(ISNUMBER(AI8),AI8+1,IF(AH6&lt;TODAY(),""," ")))</f>
        <v>42038</v>
      </c>
      <c r="AK8" s="94">
        <f ca="1">IF(WEEKDAY(AH6)=4,AH6,IF(ISNUMBER(AJ8),AJ8+1,IF(AH6&lt;TODAY(),""," ")))</f>
        <v>42039</v>
      </c>
      <c r="AL8" s="94">
        <f ca="1">IF(WEEKDAY(AH6)=5,AH6,IF(ISNUMBER(AK8),AK8+1,IF(AH6&lt;TODAY(),""," ")))</f>
        <v>42040</v>
      </c>
      <c r="AM8" s="94">
        <f ca="1">IF(WEEKDAY(AH6)=6,AH6,IF(ISNUMBER(AL8),AL8+1,IF(AH6&lt;TODAY(),""," ")))</f>
        <v>42041</v>
      </c>
      <c r="AN8" s="119">
        <f ca="1">IF(WEEKDAY(AH6)=7,AH6,IF(ISNUMBER(AM8),AM8+1,IF(AH6&lt;TODAY(),""," ")))</f>
        <v>42042</v>
      </c>
      <c r="AO8" s="127"/>
      <c r="AP8" s="118">
        <f ca="1">IF(WEEKDAY(AP6)=1,AP6,IF(AP6&lt;TODAY(),""," "))</f>
        <v>42064</v>
      </c>
      <c r="AQ8" s="94">
        <f ca="1">IF(WEEKDAY(AP6)=2,AP6,IF(ISNUMBER(AP8),AP8+1,IF(AP6&lt;TODAY(),""," ")))</f>
        <v>42065</v>
      </c>
      <c r="AR8" s="94">
        <f ca="1">IF(WEEKDAY(AP6)=3,AP6,IF(ISNUMBER(AQ8),AQ8+1,IF(AP6&lt;TODAY(),""," ")))</f>
        <v>42066</v>
      </c>
      <c r="AS8" s="94">
        <f ca="1">IF(WEEKDAY(AP6)=4,AP6,IF(ISNUMBER(AR8),AR8+1,IF(AP6&lt;TODAY(),""," ")))</f>
        <v>42067</v>
      </c>
      <c r="AT8" s="94">
        <f ca="1">IF(WEEKDAY(AP6)=5,AP6,IF(ISNUMBER(AS8),AS8+1,IF(AP6&lt;TODAY(),""," ")))</f>
        <v>42068</v>
      </c>
      <c r="AU8" s="94">
        <f ca="1">IF(WEEKDAY(AP6)=6,AP6,IF(ISNUMBER(AT8),AT8+1,IF(AP6&lt;TODAY(),""," ")))</f>
        <v>42069</v>
      </c>
      <c r="AV8" s="119">
        <f ca="1">IF(WEEKDAY(AP6)=7,AP6,IF(ISNUMBER(AU8),AU8+1,IF(AP6&lt;TODAY(),""," ")))</f>
        <v>42070</v>
      </c>
      <c r="AW8" s="73"/>
      <c r="AX8" s="118" t="str">
        <f ca="1">IF(WEEKDAY(AX6)=1,AX6,IF(AX6&lt;TODAY(),""," "))</f>
        <v xml:space="preserve"> </v>
      </c>
      <c r="AY8" s="94" t="str">
        <f ca="1">IF(WEEKDAY(AX6)=2,AX6,IF(ISNUMBER(AX8),AX8+1,IF(AX6&lt;TODAY(),""," ")))</f>
        <v xml:space="preserve"> </v>
      </c>
      <c r="AZ8" s="94" t="str">
        <f ca="1">IF(WEEKDAY(AX6)=3,AX6,IF(ISNUMBER(AY8),AY8+1,IF(AX6&lt;TODAY(),""," ")))</f>
        <v xml:space="preserve"> </v>
      </c>
      <c r="BA8" s="94">
        <f ca="1">IF(WEEKDAY(AX6)=4,AX6,IF(ISNUMBER(AZ8),AZ8+1,IF(AX6&lt;TODAY(),""," ")))</f>
        <v>42095</v>
      </c>
      <c r="BB8" s="94">
        <f ca="1">IF(WEEKDAY(AX6)=5,AX6,IF(ISNUMBER(BA8),BA8+1,IF(AX6&lt;TODAY(),""," ")))</f>
        <v>42096</v>
      </c>
      <c r="BC8" s="94">
        <f ca="1">IF(WEEKDAY(AX6)=6,AX6,IF(ISNUMBER(BB8),BB8+1,IF(AX6&lt;TODAY(),""," ")))</f>
        <v>42097</v>
      </c>
      <c r="BD8" s="119">
        <f ca="1">IF(WEEKDAY(AX6)=7,AX6,IF(ISNUMBER(BC8),BC8+1,IF(AX6&lt;TODAY(),""," ")))</f>
        <v>42098</v>
      </c>
      <c r="BE8" s="133"/>
      <c r="BF8" s="118" t="str">
        <f ca="1">IF(WEEKDAY(BF6)=1,BF6,IF(BF6&lt;TODAY(),""," "))</f>
        <v xml:space="preserve"> </v>
      </c>
      <c r="BG8" s="94" t="str">
        <f ca="1">IF(WEEKDAY(BF6)=2,BF6,IF(ISNUMBER(BF8),BF8+1,IF(BF6&lt;TODAY(),""," ")))</f>
        <v xml:space="preserve"> </v>
      </c>
      <c r="BH8" s="94" t="str">
        <f ca="1">IF(WEEKDAY(BF6)=3,BF6,IF(ISNUMBER(BG8),BG8+1,IF(BF6&lt;TODAY(),""," ")))</f>
        <v xml:space="preserve"> </v>
      </c>
      <c r="BI8" s="94" t="str">
        <f ca="1">IF(WEEKDAY(BF6)=4,BF6,IF(ISNUMBER(BH8),BH8+1,IF(BF6&lt;TODAY(),""," ")))</f>
        <v xml:space="preserve"> </v>
      </c>
      <c r="BJ8" s="94" t="str">
        <f ca="1">IF(WEEKDAY(BF6)=5,BF6,IF(ISNUMBER(BI8),BI8+1,IF(BF6&lt;TODAY(),""," ")))</f>
        <v xml:space="preserve"> </v>
      </c>
      <c r="BK8" s="94">
        <f ca="1">IF(WEEKDAY(BF6)=6,BF6,IF(ISNUMBER(BJ8),BJ8+1,IF(BF6&lt;TODAY(),""," ")))</f>
        <v>42125</v>
      </c>
      <c r="BL8" s="119">
        <f ca="1">IF(WEEKDAY(BF6)=7,BF6,IF(ISNUMBER(BK8),BK8+1,IF(BF6&lt;TODAY(),""," ")))</f>
        <v>42126</v>
      </c>
      <c r="BM8" s="127"/>
      <c r="BN8" s="118" t="str">
        <f ca="1">IF(WEEKDAY(BN6)=1,BN6,IF(BN6&lt;TODAY(),""," "))</f>
        <v xml:space="preserve"> </v>
      </c>
      <c r="BO8" s="94">
        <f ca="1">IF(WEEKDAY(BN6)=2,BN6,IF(ISNUMBER(BN8),BN8+1,IF(BN6&lt;TODAY(),""," ")))</f>
        <v>42156</v>
      </c>
      <c r="BP8" s="94">
        <f ca="1">IF(WEEKDAY(BN6)=3,BN6,IF(ISNUMBER(BO8),BO8+1,IF(BN6&lt;TODAY(),""," ")))</f>
        <v>42157</v>
      </c>
      <c r="BQ8" s="94">
        <f ca="1">IF(WEEKDAY(BN6)=4,BN6,IF(ISNUMBER(BP8),BP8+1,IF(BN6&lt;TODAY(),""," ")))</f>
        <v>42158</v>
      </c>
      <c r="BR8" s="94">
        <f ca="1">IF(WEEKDAY(BN6)=5,BN6,IF(ISNUMBER(BQ8),BQ8+1,IF(BN6&lt;TODAY(),""," ")))</f>
        <v>42159</v>
      </c>
      <c r="BS8" s="94">
        <f ca="1">IF(WEEKDAY(BN6)=6,BN6,IF(ISNUMBER(BR8),BR8+1,IF(BN6&lt;TODAY(),""," ")))</f>
        <v>42160</v>
      </c>
      <c r="BT8" s="119">
        <f ca="1">IF(WEEKDAY(BN6)=7,BN6,IF(ISNUMBER(BS8),BS8+1,IF(BN6&lt;TODAY(),""," ")))</f>
        <v>42161</v>
      </c>
      <c r="BU8" s="130"/>
      <c r="BV8" s="118" t="str">
        <f ca="1">IF(WEEKDAY(BV6)=1,BV6,IF(BV6&lt;TODAY(),""," "))</f>
        <v xml:space="preserve"> </v>
      </c>
      <c r="BW8" s="94" t="str">
        <f ca="1">IF(WEEKDAY(BV6)=2,BV6,IF(ISNUMBER(BV8),BV8+1,IF(BV6&lt;TODAY(),""," ")))</f>
        <v xml:space="preserve"> </v>
      </c>
      <c r="BX8" s="94" t="str">
        <f ca="1">IF(WEEKDAY(BV6)=3,BV6,IF(ISNUMBER(BW8),BW8+1,IF(BV6&lt;TODAY(),""," ")))</f>
        <v xml:space="preserve"> </v>
      </c>
      <c r="BY8" s="94">
        <f ca="1">IF(WEEKDAY(BV6)=4,BV6,IF(ISNUMBER(BX8),BX8+1,IF(BV6&lt;TODAY(),""," ")))</f>
        <v>42186</v>
      </c>
      <c r="BZ8" s="94">
        <f ca="1">IF(WEEKDAY(BV6)=5,BV6,IF(ISNUMBER(BY8),BY8+1,IF(BV6&lt;TODAY(),""," ")))</f>
        <v>42187</v>
      </c>
      <c r="CA8" s="94">
        <f ca="1">IF(WEEKDAY(BV6)=6,BV6,IF(ISNUMBER(BZ8),BZ8+1,IF(BV6&lt;TODAY(),""," ")))</f>
        <v>42188</v>
      </c>
      <c r="CB8" s="119">
        <f ca="1">IF(WEEKDAY(BV6)=7,BV6,IF(ISNUMBER(CA8),CA8+1,IF(BV6&lt;TODAY(),""," ")))</f>
        <v>42189</v>
      </c>
      <c r="CC8" s="133"/>
      <c r="CD8" s="118" t="str">
        <f ca="1">IF(WEEKDAY(CD6)=1,CD6,IF(CD6&lt;TODAY(),""," "))</f>
        <v xml:space="preserve"> </v>
      </c>
      <c r="CE8" s="94" t="str">
        <f ca="1">IF(WEEKDAY(CD6)=2,CD6,IF(ISNUMBER(CD8),CD8+1,IF(CD6&lt;TODAY(),""," ")))</f>
        <v xml:space="preserve"> </v>
      </c>
      <c r="CF8" s="94" t="str">
        <f ca="1">IF(WEEKDAY(CD6)=3,CD6,IF(ISNUMBER(CE8),CE8+1,IF(CD6&lt;TODAY(),""," ")))</f>
        <v xml:space="preserve"> </v>
      </c>
      <c r="CG8" s="94" t="str">
        <f ca="1">IF(WEEKDAY(CD6)=4,CD6,IF(ISNUMBER(CF8),CF8+1,IF(CD6&lt;TODAY(),""," ")))</f>
        <v xml:space="preserve"> </v>
      </c>
      <c r="CH8" s="94" t="str">
        <f ca="1">IF(WEEKDAY(CD6)=5,CD6,IF(ISNUMBER(CG8),CG8+1,IF(CD6&lt;TODAY(),""," ")))</f>
        <v xml:space="preserve"> </v>
      </c>
      <c r="CI8" s="94" t="str">
        <f ca="1">IF(WEEKDAY(CD6)=6,CD6,IF(ISNUMBER(CH8),CH8+1,IF(CD6&lt;TODAY(),""," ")))</f>
        <v xml:space="preserve"> </v>
      </c>
      <c r="CJ8" s="119">
        <f ca="1">IF(WEEKDAY(CD6)=7,CD6,IF(ISNUMBER(CI8),CI8+1,IF(CD6&lt;TODAY(),""," ")))</f>
        <v>42217</v>
      </c>
      <c r="CK8" s="127"/>
      <c r="CL8" s="118" t="str">
        <f ca="1">IF(WEEKDAY(CL6)=1,CL6,IF(CL6&lt;TODAY(),""," "))</f>
        <v xml:space="preserve"> </v>
      </c>
      <c r="CM8" s="94" t="str">
        <f ca="1">IF(WEEKDAY(CL6)=2,CL6,IF(ISNUMBER(CL8),CL8+1,IF(CL6&lt;TODAY(),""," ")))</f>
        <v xml:space="preserve"> </v>
      </c>
      <c r="CN8" s="94">
        <f ca="1">IF(WEEKDAY(CL6)=3,CL6,IF(ISNUMBER(CM8),CM8+1,IF(CL6&lt;TODAY(),""," ")))</f>
        <v>42248</v>
      </c>
      <c r="CO8" s="94">
        <f ca="1">IF(WEEKDAY(CL6)=4,CL6,IF(ISNUMBER(CN8),CN8+1,IF(CL6&lt;TODAY(),""," ")))</f>
        <v>42249</v>
      </c>
      <c r="CP8" s="94">
        <f ca="1">IF(WEEKDAY(CL6)=5,CL6,IF(ISNUMBER(CO8),CO8+1,IF(CL6&lt;TODAY(),""," ")))</f>
        <v>42250</v>
      </c>
      <c r="CQ8" s="94">
        <f ca="1">IF(WEEKDAY(CL6)=6,CL6,IF(ISNUMBER(CP8),CP8+1,IF(CL6&lt;TODAY(),""," ")))</f>
        <v>42251</v>
      </c>
      <c r="CR8" s="119">
        <f ca="1">IF(WEEKDAY(CL6)=7,CL6,IF(ISNUMBER(CQ8),CQ8+1,IF(CL6&lt;TODAY(),""," ")))</f>
        <v>42252</v>
      </c>
      <c r="CS8" s="72"/>
    </row>
    <row r="9" spans="1:97" ht="12" customHeight="1">
      <c r="A9" s="72"/>
      <c r="B9" s="120">
        <f ca="1">IF(ISNUMBER(H8),IF(MONTH(H8)=MONTH(H8+1),H8+1,IF(H8&lt;TODAY(),""," ")),H8)</f>
        <v>41917</v>
      </c>
      <c r="C9" s="94">
        <f t="shared" ref="C9:H13" ca="1" si="0">IF(ISNUMBER(B9),IF(MONTH(B9)=MONTH(B9+1),B9+1,IF(B9&lt;TODAY(),""," ")),B9)</f>
        <v>41918</v>
      </c>
      <c r="D9" s="94">
        <f t="shared" ca="1" si="0"/>
        <v>41919</v>
      </c>
      <c r="E9" s="94">
        <f t="shared" ca="1" si="0"/>
        <v>41920</v>
      </c>
      <c r="F9" s="94">
        <f t="shared" ca="1" si="0"/>
        <v>41921</v>
      </c>
      <c r="G9" s="94">
        <f t="shared" ca="1" si="0"/>
        <v>41922</v>
      </c>
      <c r="H9" s="121">
        <f t="shared" ca="1" si="0"/>
        <v>41923</v>
      </c>
      <c r="I9" s="133"/>
      <c r="J9" s="120">
        <f ca="1">IF(ISNUMBER(P8),IF(MONTH(P8)=MONTH(P8+1),P8+1,IF(P8&lt;TODAY(),""," ")),P8)</f>
        <v>41945</v>
      </c>
      <c r="K9" s="94">
        <f t="shared" ref="K9:P13" ca="1" si="1">IF(ISNUMBER(J9),IF(MONTH(J9)=MONTH(J9+1),J9+1,IF(J9&lt;TODAY(),""," ")),J9)</f>
        <v>41946</v>
      </c>
      <c r="L9" s="94">
        <f t="shared" ca="1" si="1"/>
        <v>41947</v>
      </c>
      <c r="M9" s="94">
        <f t="shared" ca="1" si="1"/>
        <v>41948</v>
      </c>
      <c r="N9" s="94">
        <f t="shared" ca="1" si="1"/>
        <v>41949</v>
      </c>
      <c r="O9" s="94">
        <f t="shared" ca="1" si="1"/>
        <v>41950</v>
      </c>
      <c r="P9" s="121">
        <f t="shared" ca="1" si="1"/>
        <v>41951</v>
      </c>
      <c r="Q9" s="127"/>
      <c r="R9" s="120">
        <f ca="1">IF(ISNUMBER(X8),IF(MONTH(X8)=MONTH(X8+1),X8+1,IF(X8&lt;TODAY(),""," ")),X8)</f>
        <v>41980</v>
      </c>
      <c r="S9" s="94">
        <f t="shared" ref="S9:X13" ca="1" si="2">IF(ISNUMBER(R9),IF(MONTH(R9)=MONTH(R9+1),R9+1,IF(R9&lt;TODAY(),""," ")),R9)</f>
        <v>41981</v>
      </c>
      <c r="T9" s="94">
        <f t="shared" ca="1" si="2"/>
        <v>41982</v>
      </c>
      <c r="U9" s="94">
        <f t="shared" ca="1" si="2"/>
        <v>41983</v>
      </c>
      <c r="V9" s="94">
        <f t="shared" ca="1" si="2"/>
        <v>41984</v>
      </c>
      <c r="W9" s="94">
        <f t="shared" ca="1" si="2"/>
        <v>41985</v>
      </c>
      <c r="X9" s="121">
        <f t="shared" ca="1" si="2"/>
        <v>41986</v>
      </c>
      <c r="Y9" s="130"/>
      <c r="Z9" s="120">
        <f ca="1">IF(ISNUMBER(AF8),IF(MONTH(AF8)=MONTH(AF8+1),AF8+1,IF(AF8&lt;TODAY(),""," ")),AF8)</f>
        <v>42008</v>
      </c>
      <c r="AA9" s="94">
        <f t="shared" ref="AA9:AF13" ca="1" si="3">IF(ISNUMBER(Z9),IF(MONTH(Z9)=MONTH(Z9+1),Z9+1,IF(Z9&lt;TODAY(),""," ")),Z9)</f>
        <v>42009</v>
      </c>
      <c r="AB9" s="94">
        <f t="shared" ca="1" si="3"/>
        <v>42010</v>
      </c>
      <c r="AC9" s="94">
        <f t="shared" ca="1" si="3"/>
        <v>42011</v>
      </c>
      <c r="AD9" s="94">
        <f t="shared" ca="1" si="3"/>
        <v>42012</v>
      </c>
      <c r="AE9" s="94">
        <f t="shared" ca="1" si="3"/>
        <v>42013</v>
      </c>
      <c r="AF9" s="121">
        <f t="shared" ca="1" si="3"/>
        <v>42014</v>
      </c>
      <c r="AG9" s="133"/>
      <c r="AH9" s="120">
        <f ca="1">IF(ISNUMBER(AN8),IF(MONTH(AN8)=MONTH(AN8+1),AN8+1,IF(AN8&lt;TODAY(),""," ")),AN8)</f>
        <v>42043</v>
      </c>
      <c r="AI9" s="94">
        <f t="shared" ref="AI9:AN13" ca="1" si="4">IF(ISNUMBER(AH9),IF(MONTH(AH9)=MONTH(AH9+1),AH9+1,IF(AH9&lt;TODAY(),""," ")),AH9)</f>
        <v>42044</v>
      </c>
      <c r="AJ9" s="94">
        <f t="shared" ca="1" si="4"/>
        <v>42045</v>
      </c>
      <c r="AK9" s="94">
        <f t="shared" ca="1" si="4"/>
        <v>42046</v>
      </c>
      <c r="AL9" s="94">
        <f t="shared" ca="1" si="4"/>
        <v>42047</v>
      </c>
      <c r="AM9" s="94">
        <f t="shared" ca="1" si="4"/>
        <v>42048</v>
      </c>
      <c r="AN9" s="121">
        <f t="shared" ca="1" si="4"/>
        <v>42049</v>
      </c>
      <c r="AO9" s="127"/>
      <c r="AP9" s="120">
        <f ca="1">IF(ISNUMBER(AV8),IF(MONTH(AV8)=MONTH(AV8+1),AV8+1,IF(AV8&lt;TODAY(),""," ")),AV8)</f>
        <v>42071</v>
      </c>
      <c r="AQ9" s="94">
        <f t="shared" ref="AQ9:AV13" ca="1" si="5">IF(ISNUMBER(AP9),IF(MONTH(AP9)=MONTH(AP9+1),AP9+1,IF(AP9&lt;TODAY(),""," ")),AP9)</f>
        <v>42072</v>
      </c>
      <c r="AR9" s="94">
        <f t="shared" ca="1" si="5"/>
        <v>42073</v>
      </c>
      <c r="AS9" s="94">
        <f t="shared" ca="1" si="5"/>
        <v>42074</v>
      </c>
      <c r="AT9" s="94">
        <f t="shared" ca="1" si="5"/>
        <v>42075</v>
      </c>
      <c r="AU9" s="94">
        <f t="shared" ca="1" si="5"/>
        <v>42076</v>
      </c>
      <c r="AV9" s="121">
        <f t="shared" ca="1" si="5"/>
        <v>42077</v>
      </c>
      <c r="AW9" s="73"/>
      <c r="AX9" s="120">
        <f ca="1">IF(ISNUMBER(BD8),IF(MONTH(BD8)=MONTH(BD8+1),BD8+1,IF(BD8&lt;TODAY(),""," ")),BD8)</f>
        <v>42099</v>
      </c>
      <c r="AY9" s="94">
        <f t="shared" ref="AY9:BD13" ca="1" si="6">IF(ISNUMBER(AX9),IF(MONTH(AX9)=MONTH(AX9+1),AX9+1,IF(AX9&lt;TODAY(),""," ")),AX9)</f>
        <v>42100</v>
      </c>
      <c r="AZ9" s="94">
        <f t="shared" ca="1" si="6"/>
        <v>42101</v>
      </c>
      <c r="BA9" s="94">
        <f t="shared" ca="1" si="6"/>
        <v>42102</v>
      </c>
      <c r="BB9" s="94">
        <f t="shared" ca="1" si="6"/>
        <v>42103</v>
      </c>
      <c r="BC9" s="94">
        <f t="shared" ca="1" si="6"/>
        <v>42104</v>
      </c>
      <c r="BD9" s="121">
        <f t="shared" ca="1" si="6"/>
        <v>42105</v>
      </c>
      <c r="BE9" s="133"/>
      <c r="BF9" s="120">
        <f ca="1">IF(ISNUMBER(BL8),IF(MONTH(BL8)=MONTH(BL8+1),BL8+1,IF(BL8&lt;TODAY(),""," ")),BL8)</f>
        <v>42127</v>
      </c>
      <c r="BG9" s="94">
        <f t="shared" ref="BG9:BL13" ca="1" si="7">IF(ISNUMBER(BF9),IF(MONTH(BF9)=MONTH(BF9+1),BF9+1,IF(BF9&lt;TODAY(),""," ")),BF9)</f>
        <v>42128</v>
      </c>
      <c r="BH9" s="94">
        <f t="shared" ca="1" si="7"/>
        <v>42129</v>
      </c>
      <c r="BI9" s="94">
        <f t="shared" ca="1" si="7"/>
        <v>42130</v>
      </c>
      <c r="BJ9" s="94">
        <f t="shared" ca="1" si="7"/>
        <v>42131</v>
      </c>
      <c r="BK9" s="94">
        <f t="shared" ca="1" si="7"/>
        <v>42132</v>
      </c>
      <c r="BL9" s="121">
        <f t="shared" ca="1" si="7"/>
        <v>42133</v>
      </c>
      <c r="BM9" s="127"/>
      <c r="BN9" s="120">
        <f ca="1">IF(ISNUMBER(BT8),IF(MONTH(BT8)=MONTH(BT8+1),BT8+1,IF(BT8&lt;TODAY(),""," ")),BT8)</f>
        <v>42162</v>
      </c>
      <c r="BO9" s="94">
        <f t="shared" ref="BO9:BT13" ca="1" si="8">IF(ISNUMBER(BN9),IF(MONTH(BN9)=MONTH(BN9+1),BN9+1,IF(BN9&lt;TODAY(),""," ")),BN9)</f>
        <v>42163</v>
      </c>
      <c r="BP9" s="94">
        <f t="shared" ca="1" si="8"/>
        <v>42164</v>
      </c>
      <c r="BQ9" s="94">
        <f t="shared" ca="1" si="8"/>
        <v>42165</v>
      </c>
      <c r="BR9" s="94">
        <f t="shared" ca="1" si="8"/>
        <v>42166</v>
      </c>
      <c r="BS9" s="94">
        <f t="shared" ca="1" si="8"/>
        <v>42167</v>
      </c>
      <c r="BT9" s="121">
        <f t="shared" ca="1" si="8"/>
        <v>42168</v>
      </c>
      <c r="BU9" s="130"/>
      <c r="BV9" s="120">
        <f ca="1">IF(ISNUMBER(CB8),IF(MONTH(CB8)=MONTH(CB8+1),CB8+1,IF(CB8&lt;TODAY(),""," ")),CB8)</f>
        <v>42190</v>
      </c>
      <c r="BW9" s="94">
        <f t="shared" ref="BW9:CB13" ca="1" si="9">IF(ISNUMBER(BV9),IF(MONTH(BV9)=MONTH(BV9+1),BV9+1,IF(BV9&lt;TODAY(),""," ")),BV9)</f>
        <v>42191</v>
      </c>
      <c r="BX9" s="94">
        <f t="shared" ca="1" si="9"/>
        <v>42192</v>
      </c>
      <c r="BY9" s="94">
        <f t="shared" ca="1" si="9"/>
        <v>42193</v>
      </c>
      <c r="BZ9" s="94">
        <f t="shared" ca="1" si="9"/>
        <v>42194</v>
      </c>
      <c r="CA9" s="94">
        <f t="shared" ca="1" si="9"/>
        <v>42195</v>
      </c>
      <c r="CB9" s="121">
        <f t="shared" ca="1" si="9"/>
        <v>42196</v>
      </c>
      <c r="CC9" s="133"/>
      <c r="CD9" s="120">
        <f ca="1">IF(ISNUMBER(CJ8),IF(MONTH(CJ8)=MONTH(CJ8+1),CJ8+1,IF(CJ8&lt;TODAY(),""," ")),CJ8)</f>
        <v>42218</v>
      </c>
      <c r="CE9" s="94">
        <f t="shared" ref="CE9:CJ13" ca="1" si="10">IF(ISNUMBER(CD9),IF(MONTH(CD9)=MONTH(CD9+1),CD9+1,IF(CD9&lt;TODAY(),""," ")),CD9)</f>
        <v>42219</v>
      </c>
      <c r="CF9" s="94">
        <f t="shared" ca="1" si="10"/>
        <v>42220</v>
      </c>
      <c r="CG9" s="94">
        <f t="shared" ca="1" si="10"/>
        <v>42221</v>
      </c>
      <c r="CH9" s="94">
        <f t="shared" ca="1" si="10"/>
        <v>42222</v>
      </c>
      <c r="CI9" s="94">
        <f t="shared" ca="1" si="10"/>
        <v>42223</v>
      </c>
      <c r="CJ9" s="121">
        <f t="shared" ca="1" si="10"/>
        <v>42224</v>
      </c>
      <c r="CK9" s="127"/>
      <c r="CL9" s="120">
        <f ca="1">IF(ISNUMBER(CR8),IF(MONTH(CR8)=MONTH(CR8+1),CR8+1,IF(CR8&lt;TODAY(),""," ")),CR8)</f>
        <v>42253</v>
      </c>
      <c r="CM9" s="94">
        <f t="shared" ref="CM9:CR13" ca="1" si="11">IF(ISNUMBER(CL9),IF(MONTH(CL9)=MONTH(CL9+1),CL9+1,IF(CL9&lt;TODAY(),""," ")),CL9)</f>
        <v>42254</v>
      </c>
      <c r="CN9" s="94">
        <f t="shared" ca="1" si="11"/>
        <v>42255</v>
      </c>
      <c r="CO9" s="94">
        <f t="shared" ca="1" si="11"/>
        <v>42256</v>
      </c>
      <c r="CP9" s="94">
        <f t="shared" ca="1" si="11"/>
        <v>42257</v>
      </c>
      <c r="CQ9" s="94">
        <f t="shared" ca="1" si="11"/>
        <v>42258</v>
      </c>
      <c r="CR9" s="121">
        <f t="shared" ca="1" si="11"/>
        <v>42259</v>
      </c>
      <c r="CS9" s="72"/>
    </row>
    <row r="10" spans="1:97" ht="12" customHeight="1">
      <c r="A10" s="72"/>
      <c r="B10" s="120">
        <f ca="1">IF(ISNUMBER(H9),IF(MONTH(H9)=MONTH(H9+1),H9+1,IF(H9&lt;TODAY(),""," ")),H9)</f>
        <v>41924</v>
      </c>
      <c r="C10" s="94">
        <f t="shared" ca="1" si="0"/>
        <v>41925</v>
      </c>
      <c r="D10" s="94">
        <f t="shared" ca="1" si="0"/>
        <v>41926</v>
      </c>
      <c r="E10" s="94">
        <f t="shared" ca="1" si="0"/>
        <v>41927</v>
      </c>
      <c r="F10" s="94">
        <f t="shared" ca="1" si="0"/>
        <v>41928</v>
      </c>
      <c r="G10" s="94">
        <f t="shared" ca="1" si="0"/>
        <v>41929</v>
      </c>
      <c r="H10" s="121">
        <f t="shared" ca="1" si="0"/>
        <v>41930</v>
      </c>
      <c r="I10" s="133"/>
      <c r="J10" s="120">
        <f ca="1">IF(ISNUMBER(P9),IF(MONTH(P9)=MONTH(P9+1),P9+1,IF(P9&lt;TODAY(),""," ")),P9)</f>
        <v>41952</v>
      </c>
      <c r="K10" s="94">
        <f t="shared" ca="1" si="1"/>
        <v>41953</v>
      </c>
      <c r="L10" s="94">
        <f t="shared" ca="1" si="1"/>
        <v>41954</v>
      </c>
      <c r="M10" s="94">
        <f t="shared" ca="1" si="1"/>
        <v>41955</v>
      </c>
      <c r="N10" s="94">
        <f t="shared" ca="1" si="1"/>
        <v>41956</v>
      </c>
      <c r="O10" s="94">
        <f t="shared" ca="1" si="1"/>
        <v>41957</v>
      </c>
      <c r="P10" s="121">
        <f t="shared" ca="1" si="1"/>
        <v>41958</v>
      </c>
      <c r="Q10" s="127"/>
      <c r="R10" s="120">
        <f ca="1">IF(ISNUMBER(X9),IF(MONTH(X9)=MONTH(X9+1),X9+1,IF(X9&lt;TODAY(),""," ")),X9)</f>
        <v>41987</v>
      </c>
      <c r="S10" s="94">
        <f t="shared" ca="1" si="2"/>
        <v>41988</v>
      </c>
      <c r="T10" s="94">
        <f t="shared" ca="1" si="2"/>
        <v>41989</v>
      </c>
      <c r="U10" s="94">
        <f t="shared" ca="1" si="2"/>
        <v>41990</v>
      </c>
      <c r="V10" s="94">
        <f t="shared" ca="1" si="2"/>
        <v>41991</v>
      </c>
      <c r="W10" s="94">
        <f t="shared" ca="1" si="2"/>
        <v>41992</v>
      </c>
      <c r="X10" s="121">
        <f t="shared" ca="1" si="2"/>
        <v>41993</v>
      </c>
      <c r="Y10" s="130"/>
      <c r="Z10" s="120">
        <f ca="1">IF(ISNUMBER(AF9),IF(MONTH(AF9)=MONTH(AF9+1),AF9+1,IF(AF9&lt;TODAY(),""," ")),AF9)</f>
        <v>42015</v>
      </c>
      <c r="AA10" s="94">
        <f t="shared" ca="1" si="3"/>
        <v>42016</v>
      </c>
      <c r="AB10" s="94">
        <f t="shared" ca="1" si="3"/>
        <v>42017</v>
      </c>
      <c r="AC10" s="94">
        <f t="shared" ca="1" si="3"/>
        <v>42018</v>
      </c>
      <c r="AD10" s="94">
        <f t="shared" ca="1" si="3"/>
        <v>42019</v>
      </c>
      <c r="AE10" s="94">
        <f t="shared" ca="1" si="3"/>
        <v>42020</v>
      </c>
      <c r="AF10" s="121">
        <f t="shared" ca="1" si="3"/>
        <v>42021</v>
      </c>
      <c r="AG10" s="133"/>
      <c r="AH10" s="120">
        <f ca="1">IF(ISNUMBER(AN9),IF(MONTH(AN9)=MONTH(AN9+1),AN9+1,IF(AN9&lt;TODAY(),""," ")),AN9)</f>
        <v>42050</v>
      </c>
      <c r="AI10" s="94">
        <f t="shared" ca="1" si="4"/>
        <v>42051</v>
      </c>
      <c r="AJ10" s="94">
        <f t="shared" ca="1" si="4"/>
        <v>42052</v>
      </c>
      <c r="AK10" s="94">
        <f t="shared" ca="1" si="4"/>
        <v>42053</v>
      </c>
      <c r="AL10" s="94">
        <f t="shared" ca="1" si="4"/>
        <v>42054</v>
      </c>
      <c r="AM10" s="94">
        <f t="shared" ca="1" si="4"/>
        <v>42055</v>
      </c>
      <c r="AN10" s="121">
        <f t="shared" ca="1" si="4"/>
        <v>42056</v>
      </c>
      <c r="AO10" s="127"/>
      <c r="AP10" s="120">
        <f ca="1">IF(ISNUMBER(AV9),IF(MONTH(AV9)=MONTH(AV9+1),AV9+1,IF(AV9&lt;TODAY(),""," ")),AV9)</f>
        <v>42078</v>
      </c>
      <c r="AQ10" s="94">
        <f t="shared" ca="1" si="5"/>
        <v>42079</v>
      </c>
      <c r="AR10" s="94">
        <f t="shared" ca="1" si="5"/>
        <v>42080</v>
      </c>
      <c r="AS10" s="94">
        <f t="shared" ca="1" si="5"/>
        <v>42081</v>
      </c>
      <c r="AT10" s="94">
        <f t="shared" ca="1" si="5"/>
        <v>42082</v>
      </c>
      <c r="AU10" s="94">
        <f t="shared" ca="1" si="5"/>
        <v>42083</v>
      </c>
      <c r="AV10" s="121">
        <f t="shared" ca="1" si="5"/>
        <v>42084</v>
      </c>
      <c r="AW10" s="73"/>
      <c r="AX10" s="120">
        <f ca="1">IF(ISNUMBER(BD9),IF(MONTH(BD9)=MONTH(BD9+1),BD9+1,IF(BD9&lt;TODAY(),""," ")),BD9)</f>
        <v>42106</v>
      </c>
      <c r="AY10" s="94">
        <f t="shared" ca="1" si="6"/>
        <v>42107</v>
      </c>
      <c r="AZ10" s="94">
        <f t="shared" ca="1" si="6"/>
        <v>42108</v>
      </c>
      <c r="BA10" s="94">
        <f t="shared" ca="1" si="6"/>
        <v>42109</v>
      </c>
      <c r="BB10" s="94">
        <f t="shared" ca="1" si="6"/>
        <v>42110</v>
      </c>
      <c r="BC10" s="94">
        <f t="shared" ca="1" si="6"/>
        <v>42111</v>
      </c>
      <c r="BD10" s="121">
        <f t="shared" ca="1" si="6"/>
        <v>42112</v>
      </c>
      <c r="BE10" s="133"/>
      <c r="BF10" s="120">
        <f ca="1">IF(ISNUMBER(BL9),IF(MONTH(BL9)=MONTH(BL9+1),BL9+1,IF(BL9&lt;TODAY(),""," ")),BL9)</f>
        <v>42134</v>
      </c>
      <c r="BG10" s="94">
        <f t="shared" ca="1" si="7"/>
        <v>42135</v>
      </c>
      <c r="BH10" s="94">
        <f t="shared" ca="1" si="7"/>
        <v>42136</v>
      </c>
      <c r="BI10" s="94">
        <f t="shared" ca="1" si="7"/>
        <v>42137</v>
      </c>
      <c r="BJ10" s="94">
        <f t="shared" ca="1" si="7"/>
        <v>42138</v>
      </c>
      <c r="BK10" s="94">
        <f t="shared" ca="1" si="7"/>
        <v>42139</v>
      </c>
      <c r="BL10" s="121">
        <f t="shared" ca="1" si="7"/>
        <v>42140</v>
      </c>
      <c r="BM10" s="127"/>
      <c r="BN10" s="120">
        <f ca="1">IF(ISNUMBER(BT9),IF(MONTH(BT9)=MONTH(BT9+1),BT9+1,IF(BT9&lt;TODAY(),""," ")),BT9)</f>
        <v>42169</v>
      </c>
      <c r="BO10" s="94">
        <f t="shared" ca="1" si="8"/>
        <v>42170</v>
      </c>
      <c r="BP10" s="94">
        <f t="shared" ca="1" si="8"/>
        <v>42171</v>
      </c>
      <c r="BQ10" s="94">
        <f t="shared" ca="1" si="8"/>
        <v>42172</v>
      </c>
      <c r="BR10" s="94">
        <f t="shared" ca="1" si="8"/>
        <v>42173</v>
      </c>
      <c r="BS10" s="94">
        <f t="shared" ca="1" si="8"/>
        <v>42174</v>
      </c>
      <c r="BT10" s="121">
        <f t="shared" ca="1" si="8"/>
        <v>42175</v>
      </c>
      <c r="BU10" s="130"/>
      <c r="BV10" s="120">
        <f ca="1">IF(ISNUMBER(CB9),IF(MONTH(CB9)=MONTH(CB9+1),CB9+1,IF(CB9&lt;TODAY(),""," ")),CB9)</f>
        <v>42197</v>
      </c>
      <c r="BW10" s="94">
        <f t="shared" ca="1" si="9"/>
        <v>42198</v>
      </c>
      <c r="BX10" s="94">
        <f t="shared" ca="1" si="9"/>
        <v>42199</v>
      </c>
      <c r="BY10" s="94">
        <f t="shared" ca="1" si="9"/>
        <v>42200</v>
      </c>
      <c r="BZ10" s="94">
        <f t="shared" ca="1" si="9"/>
        <v>42201</v>
      </c>
      <c r="CA10" s="94">
        <f t="shared" ca="1" si="9"/>
        <v>42202</v>
      </c>
      <c r="CB10" s="121">
        <f t="shared" ca="1" si="9"/>
        <v>42203</v>
      </c>
      <c r="CC10" s="133"/>
      <c r="CD10" s="120">
        <f ca="1">IF(ISNUMBER(CJ9),IF(MONTH(CJ9)=MONTH(CJ9+1),CJ9+1,IF(CJ9&lt;TODAY(),""," ")),CJ9)</f>
        <v>42225</v>
      </c>
      <c r="CE10" s="94">
        <f t="shared" ca="1" si="10"/>
        <v>42226</v>
      </c>
      <c r="CF10" s="94">
        <f t="shared" ca="1" si="10"/>
        <v>42227</v>
      </c>
      <c r="CG10" s="94">
        <f t="shared" ca="1" si="10"/>
        <v>42228</v>
      </c>
      <c r="CH10" s="94">
        <f t="shared" ca="1" si="10"/>
        <v>42229</v>
      </c>
      <c r="CI10" s="94">
        <f t="shared" ca="1" si="10"/>
        <v>42230</v>
      </c>
      <c r="CJ10" s="121">
        <f t="shared" ca="1" si="10"/>
        <v>42231</v>
      </c>
      <c r="CK10" s="127"/>
      <c r="CL10" s="120">
        <f ca="1">IF(ISNUMBER(CR9),IF(MONTH(CR9)=MONTH(CR9+1),CR9+1,IF(CR9&lt;TODAY(),""," ")),CR9)</f>
        <v>42260</v>
      </c>
      <c r="CM10" s="94">
        <f t="shared" ca="1" si="11"/>
        <v>42261</v>
      </c>
      <c r="CN10" s="94">
        <f t="shared" ca="1" si="11"/>
        <v>42262</v>
      </c>
      <c r="CO10" s="94">
        <f t="shared" ca="1" si="11"/>
        <v>42263</v>
      </c>
      <c r="CP10" s="94">
        <f t="shared" ca="1" si="11"/>
        <v>42264</v>
      </c>
      <c r="CQ10" s="94">
        <f t="shared" ca="1" si="11"/>
        <v>42265</v>
      </c>
      <c r="CR10" s="121">
        <f t="shared" ca="1" si="11"/>
        <v>42266</v>
      </c>
      <c r="CS10" s="72"/>
    </row>
    <row r="11" spans="1:97" ht="12" customHeight="1">
      <c r="A11" s="72"/>
      <c r="B11" s="120">
        <f ca="1">IF(ISNUMBER(H10),IF(MONTH(H10)=MONTH(H10+1),H10+1,IF(H10&lt;TODAY(),""," ")),H10)</f>
        <v>41931</v>
      </c>
      <c r="C11" s="94">
        <f t="shared" ca="1" si="0"/>
        <v>41932</v>
      </c>
      <c r="D11" s="94">
        <f t="shared" ca="1" si="0"/>
        <v>41933</v>
      </c>
      <c r="E11" s="94">
        <f t="shared" ca="1" si="0"/>
        <v>41934</v>
      </c>
      <c r="F11" s="94">
        <f t="shared" ca="1" si="0"/>
        <v>41935</v>
      </c>
      <c r="G11" s="94">
        <f t="shared" ca="1" si="0"/>
        <v>41936</v>
      </c>
      <c r="H11" s="121">
        <f t="shared" ca="1" si="0"/>
        <v>41937</v>
      </c>
      <c r="I11" s="133"/>
      <c r="J11" s="120">
        <f ca="1">IF(ISNUMBER(P10),IF(MONTH(P10)=MONTH(P10+1),P10+1,IF(P10&lt;TODAY(),""," ")),P10)</f>
        <v>41959</v>
      </c>
      <c r="K11" s="94">
        <f t="shared" ca="1" si="1"/>
        <v>41960</v>
      </c>
      <c r="L11" s="94">
        <f t="shared" ca="1" si="1"/>
        <v>41961</v>
      </c>
      <c r="M11" s="94">
        <f t="shared" ca="1" si="1"/>
        <v>41962</v>
      </c>
      <c r="N11" s="94">
        <f t="shared" ca="1" si="1"/>
        <v>41963</v>
      </c>
      <c r="O11" s="94">
        <f t="shared" ca="1" si="1"/>
        <v>41964</v>
      </c>
      <c r="P11" s="121">
        <f t="shared" ca="1" si="1"/>
        <v>41965</v>
      </c>
      <c r="Q11" s="127"/>
      <c r="R11" s="120">
        <f ca="1">IF(ISNUMBER(X10),IF(MONTH(X10)=MONTH(X10+1),X10+1,IF(X10&lt;TODAY(),""," ")),X10)</f>
        <v>41994</v>
      </c>
      <c r="S11" s="94">
        <f t="shared" ca="1" si="2"/>
        <v>41995</v>
      </c>
      <c r="T11" s="94">
        <f t="shared" ca="1" si="2"/>
        <v>41996</v>
      </c>
      <c r="U11" s="94">
        <f t="shared" ca="1" si="2"/>
        <v>41997</v>
      </c>
      <c r="V11" s="94">
        <f t="shared" ca="1" si="2"/>
        <v>41998</v>
      </c>
      <c r="W11" s="94">
        <f t="shared" ca="1" si="2"/>
        <v>41999</v>
      </c>
      <c r="X11" s="121">
        <f t="shared" ca="1" si="2"/>
        <v>42000</v>
      </c>
      <c r="Y11" s="130"/>
      <c r="Z11" s="120">
        <f ca="1">IF(ISNUMBER(AF10),IF(MONTH(AF10)=MONTH(AF10+1),AF10+1,IF(AF10&lt;TODAY(),""," ")),AF10)</f>
        <v>42022</v>
      </c>
      <c r="AA11" s="94">
        <f t="shared" ca="1" si="3"/>
        <v>42023</v>
      </c>
      <c r="AB11" s="94">
        <f t="shared" ca="1" si="3"/>
        <v>42024</v>
      </c>
      <c r="AC11" s="94">
        <f t="shared" ca="1" si="3"/>
        <v>42025</v>
      </c>
      <c r="AD11" s="94">
        <f t="shared" ca="1" si="3"/>
        <v>42026</v>
      </c>
      <c r="AE11" s="94">
        <f t="shared" ca="1" si="3"/>
        <v>42027</v>
      </c>
      <c r="AF11" s="121">
        <f t="shared" ca="1" si="3"/>
        <v>42028</v>
      </c>
      <c r="AG11" s="133"/>
      <c r="AH11" s="120">
        <f ca="1">IF(ISNUMBER(AN10),IF(MONTH(AN10)=MONTH(AN10+1),AN10+1,IF(AN10&lt;TODAY(),""," ")),AN10)</f>
        <v>42057</v>
      </c>
      <c r="AI11" s="94">
        <f t="shared" ca="1" si="4"/>
        <v>42058</v>
      </c>
      <c r="AJ11" s="94">
        <f t="shared" ca="1" si="4"/>
        <v>42059</v>
      </c>
      <c r="AK11" s="94">
        <f t="shared" ca="1" si="4"/>
        <v>42060</v>
      </c>
      <c r="AL11" s="94">
        <f t="shared" ca="1" si="4"/>
        <v>42061</v>
      </c>
      <c r="AM11" s="94">
        <f t="shared" ca="1" si="4"/>
        <v>42062</v>
      </c>
      <c r="AN11" s="121">
        <f t="shared" ca="1" si="4"/>
        <v>42063</v>
      </c>
      <c r="AO11" s="127"/>
      <c r="AP11" s="120">
        <f ca="1">IF(ISNUMBER(AV10),IF(MONTH(AV10)=MONTH(AV10+1),AV10+1,IF(AV10&lt;TODAY(),""," ")),AV10)</f>
        <v>42085</v>
      </c>
      <c r="AQ11" s="94">
        <f t="shared" ca="1" si="5"/>
        <v>42086</v>
      </c>
      <c r="AR11" s="94">
        <f t="shared" ca="1" si="5"/>
        <v>42087</v>
      </c>
      <c r="AS11" s="94">
        <f t="shared" ca="1" si="5"/>
        <v>42088</v>
      </c>
      <c r="AT11" s="94">
        <f t="shared" ca="1" si="5"/>
        <v>42089</v>
      </c>
      <c r="AU11" s="94">
        <f t="shared" ca="1" si="5"/>
        <v>42090</v>
      </c>
      <c r="AV11" s="121">
        <f t="shared" ca="1" si="5"/>
        <v>42091</v>
      </c>
      <c r="AW11" s="73"/>
      <c r="AX11" s="120">
        <f ca="1">IF(ISNUMBER(BD10),IF(MONTH(BD10)=MONTH(BD10+1),BD10+1,IF(BD10&lt;TODAY(),""," ")),BD10)</f>
        <v>42113</v>
      </c>
      <c r="AY11" s="94">
        <f t="shared" ca="1" si="6"/>
        <v>42114</v>
      </c>
      <c r="AZ11" s="94">
        <f t="shared" ca="1" si="6"/>
        <v>42115</v>
      </c>
      <c r="BA11" s="94">
        <f t="shared" ca="1" si="6"/>
        <v>42116</v>
      </c>
      <c r="BB11" s="94">
        <f t="shared" ca="1" si="6"/>
        <v>42117</v>
      </c>
      <c r="BC11" s="94">
        <f t="shared" ca="1" si="6"/>
        <v>42118</v>
      </c>
      <c r="BD11" s="121">
        <f t="shared" ca="1" si="6"/>
        <v>42119</v>
      </c>
      <c r="BE11" s="133"/>
      <c r="BF11" s="120">
        <f ca="1">IF(ISNUMBER(BL10),IF(MONTH(BL10)=MONTH(BL10+1),BL10+1,IF(BL10&lt;TODAY(),""," ")),BL10)</f>
        <v>42141</v>
      </c>
      <c r="BG11" s="94">
        <f t="shared" ca="1" si="7"/>
        <v>42142</v>
      </c>
      <c r="BH11" s="94">
        <f t="shared" ca="1" si="7"/>
        <v>42143</v>
      </c>
      <c r="BI11" s="94">
        <f t="shared" ca="1" si="7"/>
        <v>42144</v>
      </c>
      <c r="BJ11" s="94">
        <f t="shared" ca="1" si="7"/>
        <v>42145</v>
      </c>
      <c r="BK11" s="94">
        <f t="shared" ca="1" si="7"/>
        <v>42146</v>
      </c>
      <c r="BL11" s="121">
        <f t="shared" ca="1" si="7"/>
        <v>42147</v>
      </c>
      <c r="BM11" s="127"/>
      <c r="BN11" s="120">
        <f ca="1">IF(ISNUMBER(BT10),IF(MONTH(BT10)=MONTH(BT10+1),BT10+1,IF(BT10&lt;TODAY(),""," ")),BT10)</f>
        <v>42176</v>
      </c>
      <c r="BO11" s="94">
        <f t="shared" ca="1" si="8"/>
        <v>42177</v>
      </c>
      <c r="BP11" s="94">
        <f t="shared" ca="1" si="8"/>
        <v>42178</v>
      </c>
      <c r="BQ11" s="94">
        <f t="shared" ca="1" si="8"/>
        <v>42179</v>
      </c>
      <c r="BR11" s="94">
        <f t="shared" ca="1" si="8"/>
        <v>42180</v>
      </c>
      <c r="BS11" s="94">
        <f t="shared" ca="1" si="8"/>
        <v>42181</v>
      </c>
      <c r="BT11" s="121">
        <f t="shared" ca="1" si="8"/>
        <v>42182</v>
      </c>
      <c r="BU11" s="130"/>
      <c r="BV11" s="120">
        <f ca="1">IF(ISNUMBER(CB10),IF(MONTH(CB10)=MONTH(CB10+1),CB10+1,IF(CB10&lt;TODAY(),""," ")),CB10)</f>
        <v>42204</v>
      </c>
      <c r="BW11" s="94">
        <f t="shared" ca="1" si="9"/>
        <v>42205</v>
      </c>
      <c r="BX11" s="94">
        <f t="shared" ca="1" si="9"/>
        <v>42206</v>
      </c>
      <c r="BY11" s="94">
        <f t="shared" ca="1" si="9"/>
        <v>42207</v>
      </c>
      <c r="BZ11" s="94">
        <f t="shared" ca="1" si="9"/>
        <v>42208</v>
      </c>
      <c r="CA11" s="94">
        <f t="shared" ca="1" si="9"/>
        <v>42209</v>
      </c>
      <c r="CB11" s="121">
        <f t="shared" ca="1" si="9"/>
        <v>42210</v>
      </c>
      <c r="CC11" s="133"/>
      <c r="CD11" s="120">
        <f ca="1">IF(ISNUMBER(CJ10),IF(MONTH(CJ10)=MONTH(CJ10+1),CJ10+1,IF(CJ10&lt;TODAY(),""," ")),CJ10)</f>
        <v>42232</v>
      </c>
      <c r="CE11" s="94">
        <f t="shared" ca="1" si="10"/>
        <v>42233</v>
      </c>
      <c r="CF11" s="94">
        <f t="shared" ca="1" si="10"/>
        <v>42234</v>
      </c>
      <c r="CG11" s="94">
        <f t="shared" ca="1" si="10"/>
        <v>42235</v>
      </c>
      <c r="CH11" s="94">
        <f t="shared" ca="1" si="10"/>
        <v>42236</v>
      </c>
      <c r="CI11" s="94">
        <f t="shared" ca="1" si="10"/>
        <v>42237</v>
      </c>
      <c r="CJ11" s="121">
        <f t="shared" ca="1" si="10"/>
        <v>42238</v>
      </c>
      <c r="CK11" s="127"/>
      <c r="CL11" s="120">
        <f ca="1">IF(ISNUMBER(CR10),IF(MONTH(CR10)=MONTH(CR10+1),CR10+1,IF(CR10&lt;TODAY(),""," ")),CR10)</f>
        <v>42267</v>
      </c>
      <c r="CM11" s="94">
        <f t="shared" ca="1" si="11"/>
        <v>42268</v>
      </c>
      <c r="CN11" s="94">
        <f t="shared" ca="1" si="11"/>
        <v>42269</v>
      </c>
      <c r="CO11" s="94">
        <f t="shared" ca="1" si="11"/>
        <v>42270</v>
      </c>
      <c r="CP11" s="94">
        <f t="shared" ca="1" si="11"/>
        <v>42271</v>
      </c>
      <c r="CQ11" s="94">
        <f t="shared" ca="1" si="11"/>
        <v>42272</v>
      </c>
      <c r="CR11" s="121">
        <f t="shared" ca="1" si="11"/>
        <v>42273</v>
      </c>
      <c r="CS11" s="72"/>
    </row>
    <row r="12" spans="1:97" ht="12" customHeight="1">
      <c r="A12" s="72"/>
      <c r="B12" s="120">
        <f ca="1">IF(ISNUMBER(H11),IF(MONTH(H11)=MONTH(H11+1),H11+1,IF(H11&lt;TODAY(),""," ")),H11)</f>
        <v>41938</v>
      </c>
      <c r="C12" s="94">
        <f t="shared" ca="1" si="0"/>
        <v>41939</v>
      </c>
      <c r="D12" s="94">
        <f t="shared" ca="1" si="0"/>
        <v>41940</v>
      </c>
      <c r="E12" s="94">
        <f t="shared" ca="1" si="0"/>
        <v>41941</v>
      </c>
      <c r="F12" s="94">
        <f t="shared" ca="1" si="0"/>
        <v>41942</v>
      </c>
      <c r="G12" s="94">
        <f t="shared" ca="1" si="0"/>
        <v>41943</v>
      </c>
      <c r="H12" s="121" t="str">
        <f t="shared" ca="1" si="0"/>
        <v/>
      </c>
      <c r="I12" s="133"/>
      <c r="J12" s="120">
        <f ca="1">IF(ISNUMBER(P11),IF(MONTH(P11)=MONTH(P11+1),P11+1,IF(P11&lt;TODAY(),""," ")),P11)</f>
        <v>41966</v>
      </c>
      <c r="K12" s="94">
        <f t="shared" ca="1" si="1"/>
        <v>41967</v>
      </c>
      <c r="L12" s="94">
        <f t="shared" ca="1" si="1"/>
        <v>41968</v>
      </c>
      <c r="M12" s="94">
        <f t="shared" ca="1" si="1"/>
        <v>41969</v>
      </c>
      <c r="N12" s="94">
        <f t="shared" ca="1" si="1"/>
        <v>41970</v>
      </c>
      <c r="O12" s="94">
        <f t="shared" ca="1" si="1"/>
        <v>41971</v>
      </c>
      <c r="P12" s="121">
        <f t="shared" ca="1" si="1"/>
        <v>41972</v>
      </c>
      <c r="Q12" s="127"/>
      <c r="R12" s="120">
        <f ca="1">IF(ISNUMBER(X11),IF(MONTH(X11)=MONTH(X11+1),X11+1,IF(X11&lt;TODAY(),""," ")),X11)</f>
        <v>42001</v>
      </c>
      <c r="S12" s="94">
        <f t="shared" ca="1" si="2"/>
        <v>42002</v>
      </c>
      <c r="T12" s="94">
        <f t="shared" ca="1" si="2"/>
        <v>42003</v>
      </c>
      <c r="U12" s="94">
        <f t="shared" ca="1" si="2"/>
        <v>42004</v>
      </c>
      <c r="V12" s="94" t="str">
        <f t="shared" ca="1" si="2"/>
        <v xml:space="preserve"> </v>
      </c>
      <c r="W12" s="94" t="str">
        <f t="shared" ca="1" si="2"/>
        <v xml:space="preserve"> </v>
      </c>
      <c r="X12" s="121" t="str">
        <f t="shared" ca="1" si="2"/>
        <v xml:space="preserve"> </v>
      </c>
      <c r="Y12" s="130"/>
      <c r="Z12" s="120">
        <f ca="1">IF(ISNUMBER(AF11),IF(MONTH(AF11)=MONTH(AF11+1),AF11+1,IF(AF11&lt;TODAY(),""," ")),AF11)</f>
        <v>42029</v>
      </c>
      <c r="AA12" s="94">
        <f t="shared" ca="1" si="3"/>
        <v>42030</v>
      </c>
      <c r="AB12" s="94">
        <f t="shared" ca="1" si="3"/>
        <v>42031</v>
      </c>
      <c r="AC12" s="94">
        <f t="shared" ca="1" si="3"/>
        <v>42032</v>
      </c>
      <c r="AD12" s="94">
        <f t="shared" ca="1" si="3"/>
        <v>42033</v>
      </c>
      <c r="AE12" s="94">
        <f t="shared" ca="1" si="3"/>
        <v>42034</v>
      </c>
      <c r="AF12" s="121">
        <f t="shared" ca="1" si="3"/>
        <v>42035</v>
      </c>
      <c r="AG12" s="133"/>
      <c r="AH12" s="120" t="str">
        <f ca="1">IF(ISNUMBER(AN11),IF(MONTH(AN11)=MONTH(AN11+1),AN11+1,IF(AN11&lt;TODAY(),""," ")),AN11)</f>
        <v xml:space="preserve"> </v>
      </c>
      <c r="AI12" s="94" t="str">
        <f t="shared" ca="1" si="4"/>
        <v xml:space="preserve"> </v>
      </c>
      <c r="AJ12" s="94" t="str">
        <f t="shared" ca="1" si="4"/>
        <v xml:space="preserve"> </v>
      </c>
      <c r="AK12" s="94" t="str">
        <f t="shared" ca="1" si="4"/>
        <v xml:space="preserve"> </v>
      </c>
      <c r="AL12" s="94" t="str">
        <f t="shared" ca="1" si="4"/>
        <v xml:space="preserve"> </v>
      </c>
      <c r="AM12" s="94" t="str">
        <f t="shared" ca="1" si="4"/>
        <v xml:space="preserve"> </v>
      </c>
      <c r="AN12" s="121" t="str">
        <f t="shared" ca="1" si="4"/>
        <v xml:space="preserve"> </v>
      </c>
      <c r="AO12" s="127"/>
      <c r="AP12" s="120">
        <f ca="1">IF(ISNUMBER(AV11),IF(MONTH(AV11)=MONTH(AV11+1),AV11+1,IF(AV11&lt;TODAY(),""," ")),AV11)</f>
        <v>42092</v>
      </c>
      <c r="AQ12" s="94">
        <f t="shared" ca="1" si="5"/>
        <v>42093</v>
      </c>
      <c r="AR12" s="94">
        <f t="shared" ca="1" si="5"/>
        <v>42094</v>
      </c>
      <c r="AS12" s="94" t="str">
        <f t="shared" ca="1" si="5"/>
        <v xml:space="preserve"> </v>
      </c>
      <c r="AT12" s="94" t="str">
        <f t="shared" ca="1" si="5"/>
        <v xml:space="preserve"> </v>
      </c>
      <c r="AU12" s="94" t="str">
        <f t="shared" ca="1" si="5"/>
        <v xml:space="preserve"> </v>
      </c>
      <c r="AV12" s="121" t="str">
        <f t="shared" ca="1" si="5"/>
        <v xml:space="preserve"> </v>
      </c>
      <c r="AW12" s="73"/>
      <c r="AX12" s="120">
        <f ca="1">IF(ISNUMBER(BD11),IF(MONTH(BD11)=MONTH(BD11+1),BD11+1,IF(BD11&lt;TODAY(),""," ")),BD11)</f>
        <v>42120</v>
      </c>
      <c r="AY12" s="94">
        <f t="shared" ca="1" si="6"/>
        <v>42121</v>
      </c>
      <c r="AZ12" s="94">
        <f t="shared" ca="1" si="6"/>
        <v>42122</v>
      </c>
      <c r="BA12" s="94">
        <f t="shared" ca="1" si="6"/>
        <v>42123</v>
      </c>
      <c r="BB12" s="94">
        <f t="shared" ca="1" si="6"/>
        <v>42124</v>
      </c>
      <c r="BC12" s="94" t="str">
        <f t="shared" ca="1" si="6"/>
        <v xml:space="preserve"> </v>
      </c>
      <c r="BD12" s="121" t="str">
        <f t="shared" ca="1" si="6"/>
        <v xml:space="preserve"> </v>
      </c>
      <c r="BE12" s="133"/>
      <c r="BF12" s="120">
        <f ca="1">IF(ISNUMBER(BL11),IF(MONTH(BL11)=MONTH(BL11+1),BL11+1,IF(BL11&lt;TODAY(),""," ")),BL11)</f>
        <v>42148</v>
      </c>
      <c r="BG12" s="94">
        <f t="shared" ca="1" si="7"/>
        <v>42149</v>
      </c>
      <c r="BH12" s="94">
        <f t="shared" ca="1" si="7"/>
        <v>42150</v>
      </c>
      <c r="BI12" s="94">
        <f t="shared" ca="1" si="7"/>
        <v>42151</v>
      </c>
      <c r="BJ12" s="94">
        <f t="shared" ca="1" si="7"/>
        <v>42152</v>
      </c>
      <c r="BK12" s="94">
        <f t="shared" ca="1" si="7"/>
        <v>42153</v>
      </c>
      <c r="BL12" s="121">
        <f t="shared" ca="1" si="7"/>
        <v>42154</v>
      </c>
      <c r="BM12" s="127"/>
      <c r="BN12" s="120">
        <f ca="1">IF(ISNUMBER(BT11),IF(MONTH(BT11)=MONTH(BT11+1),BT11+1,IF(BT11&lt;TODAY(),""," ")),BT11)</f>
        <v>42183</v>
      </c>
      <c r="BO12" s="94">
        <f t="shared" ca="1" si="8"/>
        <v>42184</v>
      </c>
      <c r="BP12" s="94">
        <f t="shared" ca="1" si="8"/>
        <v>42185</v>
      </c>
      <c r="BQ12" s="94" t="str">
        <f t="shared" ca="1" si="8"/>
        <v xml:space="preserve"> </v>
      </c>
      <c r="BR12" s="94" t="str">
        <f t="shared" ca="1" si="8"/>
        <v xml:space="preserve"> </v>
      </c>
      <c r="BS12" s="94" t="str">
        <f t="shared" ca="1" si="8"/>
        <v xml:space="preserve"> </v>
      </c>
      <c r="BT12" s="121" t="str">
        <f t="shared" ca="1" si="8"/>
        <v xml:space="preserve"> </v>
      </c>
      <c r="BU12" s="130"/>
      <c r="BV12" s="120">
        <f ca="1">IF(ISNUMBER(CB11),IF(MONTH(CB11)=MONTH(CB11+1),CB11+1,IF(CB11&lt;TODAY(),""," ")),CB11)</f>
        <v>42211</v>
      </c>
      <c r="BW12" s="94">
        <f t="shared" ca="1" si="9"/>
        <v>42212</v>
      </c>
      <c r="BX12" s="94">
        <f t="shared" ca="1" si="9"/>
        <v>42213</v>
      </c>
      <c r="BY12" s="94">
        <f t="shared" ca="1" si="9"/>
        <v>42214</v>
      </c>
      <c r="BZ12" s="94">
        <f t="shared" ca="1" si="9"/>
        <v>42215</v>
      </c>
      <c r="CA12" s="94">
        <f t="shared" ca="1" si="9"/>
        <v>42216</v>
      </c>
      <c r="CB12" s="121" t="str">
        <f t="shared" ca="1" si="9"/>
        <v xml:space="preserve"> </v>
      </c>
      <c r="CC12" s="133"/>
      <c r="CD12" s="120">
        <f ca="1">IF(ISNUMBER(CJ11),IF(MONTH(CJ11)=MONTH(CJ11+1),CJ11+1,IF(CJ11&lt;TODAY(),""," ")),CJ11)</f>
        <v>42239</v>
      </c>
      <c r="CE12" s="94">
        <f t="shared" ca="1" si="10"/>
        <v>42240</v>
      </c>
      <c r="CF12" s="94">
        <f t="shared" ca="1" si="10"/>
        <v>42241</v>
      </c>
      <c r="CG12" s="94">
        <f t="shared" ca="1" si="10"/>
        <v>42242</v>
      </c>
      <c r="CH12" s="94">
        <f t="shared" ca="1" si="10"/>
        <v>42243</v>
      </c>
      <c r="CI12" s="94">
        <f t="shared" ca="1" si="10"/>
        <v>42244</v>
      </c>
      <c r="CJ12" s="121">
        <f t="shared" ca="1" si="10"/>
        <v>42245</v>
      </c>
      <c r="CK12" s="127"/>
      <c r="CL12" s="120">
        <f ca="1">IF(ISNUMBER(CR11),IF(MONTH(CR11)=MONTH(CR11+1),CR11+1,IF(CR11&lt;TODAY(),""," ")),CR11)</f>
        <v>42274</v>
      </c>
      <c r="CM12" s="94">
        <f t="shared" ca="1" si="11"/>
        <v>42275</v>
      </c>
      <c r="CN12" s="94">
        <f t="shared" ca="1" si="11"/>
        <v>42276</v>
      </c>
      <c r="CO12" s="94">
        <f t="shared" ca="1" si="11"/>
        <v>42277</v>
      </c>
      <c r="CP12" s="94" t="str">
        <f t="shared" ca="1" si="11"/>
        <v xml:space="preserve"> </v>
      </c>
      <c r="CQ12" s="94" t="str">
        <f t="shared" ca="1" si="11"/>
        <v xml:space="preserve"> </v>
      </c>
      <c r="CR12" s="121" t="str">
        <f t="shared" ca="1" si="11"/>
        <v xml:space="preserve"> </v>
      </c>
      <c r="CS12" s="72"/>
    </row>
    <row r="13" spans="1:97" ht="12" customHeight="1" thickBot="1">
      <c r="A13" s="72"/>
      <c r="B13" s="122" t="str">
        <f ca="1">IF(ISNUMBER(H12),IF(MONTH(H12)=MONTH(H12+1),H12+1,IF(H12&lt;TODAY(),""," ")),H12)</f>
        <v/>
      </c>
      <c r="C13" s="123" t="str">
        <f t="shared" ca="1" si="0"/>
        <v/>
      </c>
      <c r="D13" s="123" t="str">
        <f t="shared" ca="1" si="0"/>
        <v/>
      </c>
      <c r="E13" s="123" t="str">
        <f t="shared" ca="1" si="0"/>
        <v/>
      </c>
      <c r="F13" s="123" t="str">
        <f t="shared" ca="1" si="0"/>
        <v/>
      </c>
      <c r="G13" s="123" t="str">
        <f t="shared" ca="1" si="0"/>
        <v/>
      </c>
      <c r="H13" s="124" t="str">
        <f t="shared" ca="1" si="0"/>
        <v/>
      </c>
      <c r="I13" s="134"/>
      <c r="J13" s="122">
        <f ca="1">IF(ISNUMBER(P12),IF(MONTH(P12)=MONTH(P12+1),P12+1,IF(P12&lt;TODAY(),""," ")),P12)</f>
        <v>41973</v>
      </c>
      <c r="K13" s="123" t="str">
        <f t="shared" ca="1" si="1"/>
        <v xml:space="preserve"> </v>
      </c>
      <c r="L13" s="123" t="str">
        <f t="shared" ca="1" si="1"/>
        <v xml:space="preserve"> </v>
      </c>
      <c r="M13" s="123" t="str">
        <f t="shared" ca="1" si="1"/>
        <v xml:space="preserve"> </v>
      </c>
      <c r="N13" s="123" t="str">
        <f t="shared" ca="1" si="1"/>
        <v xml:space="preserve"> </v>
      </c>
      <c r="O13" s="123" t="str">
        <f t="shared" ca="1" si="1"/>
        <v xml:space="preserve"> </v>
      </c>
      <c r="P13" s="124" t="str">
        <f t="shared" ca="1" si="1"/>
        <v xml:space="preserve"> </v>
      </c>
      <c r="Q13" s="128"/>
      <c r="R13" s="122" t="str">
        <f ca="1">IF(ISNUMBER(X12),IF(MONTH(X12)=MONTH(X12+1),X12+1,IF(X12&lt;TODAY(),""," ")),X12)</f>
        <v xml:space="preserve"> </v>
      </c>
      <c r="S13" s="123" t="str">
        <f t="shared" ca="1" si="2"/>
        <v xml:space="preserve"> </v>
      </c>
      <c r="T13" s="123" t="str">
        <f t="shared" ca="1" si="2"/>
        <v xml:space="preserve"> </v>
      </c>
      <c r="U13" s="123" t="str">
        <f t="shared" ca="1" si="2"/>
        <v xml:space="preserve"> </v>
      </c>
      <c r="V13" s="123" t="str">
        <f t="shared" ca="1" si="2"/>
        <v xml:space="preserve"> </v>
      </c>
      <c r="W13" s="123" t="str">
        <f t="shared" ca="1" si="2"/>
        <v xml:space="preserve"> </v>
      </c>
      <c r="X13" s="124" t="str">
        <f t="shared" ca="1" si="2"/>
        <v xml:space="preserve"> </v>
      </c>
      <c r="Y13" s="130"/>
      <c r="Z13" s="122" t="str">
        <f ca="1">IF(ISNUMBER(AF12),IF(MONTH(AF12)=MONTH(AF12+1),AF12+1,IF(AF12&lt;TODAY(),""," ")),AF12)</f>
        <v xml:space="preserve"> </v>
      </c>
      <c r="AA13" s="123" t="str">
        <f t="shared" ca="1" si="3"/>
        <v xml:space="preserve"> </v>
      </c>
      <c r="AB13" s="123" t="str">
        <f t="shared" ca="1" si="3"/>
        <v xml:space="preserve"> </v>
      </c>
      <c r="AC13" s="123" t="str">
        <f t="shared" ca="1" si="3"/>
        <v xml:space="preserve"> </v>
      </c>
      <c r="AD13" s="123" t="str">
        <f t="shared" ca="1" si="3"/>
        <v xml:space="preserve"> </v>
      </c>
      <c r="AE13" s="123" t="str">
        <f t="shared" ca="1" si="3"/>
        <v xml:space="preserve"> </v>
      </c>
      <c r="AF13" s="124" t="str">
        <f t="shared" ca="1" si="3"/>
        <v xml:space="preserve"> </v>
      </c>
      <c r="AG13" s="134"/>
      <c r="AH13" s="122" t="str">
        <f ca="1">IF(ISNUMBER(AN12),IF(MONTH(AN12)=MONTH(AN12+1),AN12+1,IF(AN12&lt;TODAY(),""," ")),AN12)</f>
        <v xml:space="preserve"> </v>
      </c>
      <c r="AI13" s="123" t="str">
        <f t="shared" ca="1" si="4"/>
        <v xml:space="preserve"> </v>
      </c>
      <c r="AJ13" s="123" t="str">
        <f t="shared" ca="1" si="4"/>
        <v xml:space="preserve"> </v>
      </c>
      <c r="AK13" s="123" t="str">
        <f t="shared" ca="1" si="4"/>
        <v xml:space="preserve"> </v>
      </c>
      <c r="AL13" s="123" t="str">
        <f t="shared" ca="1" si="4"/>
        <v xml:space="preserve"> </v>
      </c>
      <c r="AM13" s="123" t="str">
        <f t="shared" ca="1" si="4"/>
        <v xml:space="preserve"> </v>
      </c>
      <c r="AN13" s="124" t="str">
        <f t="shared" ca="1" si="4"/>
        <v xml:space="preserve"> </v>
      </c>
      <c r="AO13" s="128"/>
      <c r="AP13" s="122" t="str">
        <f ca="1">IF(ISNUMBER(AV12),IF(MONTH(AV12)=MONTH(AV12+1),AV12+1,IF(AV12&lt;TODAY(),""," ")),AV12)</f>
        <v xml:space="preserve"> </v>
      </c>
      <c r="AQ13" s="123" t="str">
        <f t="shared" ca="1" si="5"/>
        <v xml:space="preserve"> </v>
      </c>
      <c r="AR13" s="123" t="str">
        <f t="shared" ca="1" si="5"/>
        <v xml:space="preserve"> </v>
      </c>
      <c r="AS13" s="123" t="str">
        <f t="shared" ca="1" si="5"/>
        <v xml:space="preserve"> </v>
      </c>
      <c r="AT13" s="123" t="str">
        <f t="shared" ca="1" si="5"/>
        <v xml:space="preserve"> </v>
      </c>
      <c r="AU13" s="123" t="str">
        <f t="shared" ca="1" si="5"/>
        <v xml:space="preserve"> </v>
      </c>
      <c r="AV13" s="124" t="str">
        <f t="shared" ca="1" si="5"/>
        <v xml:space="preserve"> </v>
      </c>
      <c r="AW13" s="73"/>
      <c r="AX13" s="122" t="str">
        <f ca="1">IF(ISNUMBER(BD12),IF(MONTH(BD12)=MONTH(BD12+1),BD12+1,IF(BD12&lt;TODAY(),""," ")),BD12)</f>
        <v xml:space="preserve"> </v>
      </c>
      <c r="AY13" s="123" t="str">
        <f t="shared" ca="1" si="6"/>
        <v xml:space="preserve"> </v>
      </c>
      <c r="AZ13" s="123" t="str">
        <f t="shared" ca="1" si="6"/>
        <v xml:space="preserve"> </v>
      </c>
      <c r="BA13" s="123" t="str">
        <f t="shared" ca="1" si="6"/>
        <v xml:space="preserve"> </v>
      </c>
      <c r="BB13" s="123" t="str">
        <f t="shared" ca="1" si="6"/>
        <v xml:space="preserve"> </v>
      </c>
      <c r="BC13" s="123" t="str">
        <f t="shared" ca="1" si="6"/>
        <v xml:space="preserve"> </v>
      </c>
      <c r="BD13" s="124" t="str">
        <f t="shared" ca="1" si="6"/>
        <v xml:space="preserve"> </v>
      </c>
      <c r="BE13" s="134"/>
      <c r="BF13" s="122">
        <f ca="1">IF(ISNUMBER(BL12),IF(MONTH(BL12)=MONTH(BL12+1),BL12+1,IF(BL12&lt;TODAY(),""," ")),BL12)</f>
        <v>42155</v>
      </c>
      <c r="BG13" s="123" t="str">
        <f t="shared" ca="1" si="7"/>
        <v xml:space="preserve"> </v>
      </c>
      <c r="BH13" s="123" t="str">
        <f t="shared" ca="1" si="7"/>
        <v xml:space="preserve"> </v>
      </c>
      <c r="BI13" s="123" t="str">
        <f t="shared" ca="1" si="7"/>
        <v xml:space="preserve"> </v>
      </c>
      <c r="BJ13" s="123" t="str">
        <f t="shared" ca="1" si="7"/>
        <v xml:space="preserve"> </v>
      </c>
      <c r="BK13" s="123" t="str">
        <f t="shared" ca="1" si="7"/>
        <v xml:space="preserve"> </v>
      </c>
      <c r="BL13" s="124" t="str">
        <f t="shared" ca="1" si="7"/>
        <v xml:space="preserve"> </v>
      </c>
      <c r="BM13" s="128"/>
      <c r="BN13" s="122" t="str">
        <f ca="1">IF(ISNUMBER(BT12),IF(MONTH(BT12)=MONTH(BT12+1),BT12+1,IF(BT12&lt;TODAY(),""," ")),BT12)</f>
        <v xml:space="preserve"> </v>
      </c>
      <c r="BO13" s="123" t="str">
        <f t="shared" ca="1" si="8"/>
        <v xml:space="preserve"> </v>
      </c>
      <c r="BP13" s="123" t="str">
        <f t="shared" ca="1" si="8"/>
        <v xml:space="preserve"> </v>
      </c>
      <c r="BQ13" s="123" t="str">
        <f t="shared" ca="1" si="8"/>
        <v xml:space="preserve"> </v>
      </c>
      <c r="BR13" s="123" t="str">
        <f t="shared" ca="1" si="8"/>
        <v xml:space="preserve"> </v>
      </c>
      <c r="BS13" s="123" t="str">
        <f t="shared" ca="1" si="8"/>
        <v xml:space="preserve"> </v>
      </c>
      <c r="BT13" s="124" t="str">
        <f t="shared" ca="1" si="8"/>
        <v xml:space="preserve"> </v>
      </c>
      <c r="BU13" s="130"/>
      <c r="BV13" s="122" t="str">
        <f ca="1">IF(ISNUMBER(CB12),IF(MONTH(CB12)=MONTH(CB12+1),CB12+1,IF(CB12&lt;TODAY(),""," ")),CB12)</f>
        <v xml:space="preserve"> </v>
      </c>
      <c r="BW13" s="123" t="str">
        <f t="shared" ca="1" si="9"/>
        <v xml:space="preserve"> </v>
      </c>
      <c r="BX13" s="123" t="str">
        <f t="shared" ca="1" si="9"/>
        <v xml:space="preserve"> </v>
      </c>
      <c r="BY13" s="123" t="str">
        <f t="shared" ca="1" si="9"/>
        <v xml:space="preserve"> </v>
      </c>
      <c r="BZ13" s="123" t="str">
        <f t="shared" ca="1" si="9"/>
        <v xml:space="preserve"> </v>
      </c>
      <c r="CA13" s="123" t="str">
        <f t="shared" ca="1" si="9"/>
        <v xml:space="preserve"> </v>
      </c>
      <c r="CB13" s="124" t="str">
        <f t="shared" ca="1" si="9"/>
        <v xml:space="preserve"> </v>
      </c>
      <c r="CC13" s="134"/>
      <c r="CD13" s="122">
        <f ca="1">IF(ISNUMBER(CJ12),IF(MONTH(CJ12)=MONTH(CJ12+1),CJ12+1,IF(CJ12&lt;TODAY(),""," ")),CJ12)</f>
        <v>42246</v>
      </c>
      <c r="CE13" s="123">
        <f t="shared" ca="1" si="10"/>
        <v>42247</v>
      </c>
      <c r="CF13" s="123" t="str">
        <f t="shared" ca="1" si="10"/>
        <v xml:space="preserve"> </v>
      </c>
      <c r="CG13" s="123" t="str">
        <f t="shared" ca="1" si="10"/>
        <v xml:space="preserve"> </v>
      </c>
      <c r="CH13" s="123" t="str">
        <f t="shared" ca="1" si="10"/>
        <v xml:space="preserve"> </v>
      </c>
      <c r="CI13" s="123" t="str">
        <f t="shared" ca="1" si="10"/>
        <v xml:space="preserve"> </v>
      </c>
      <c r="CJ13" s="124" t="str">
        <f t="shared" ca="1" si="10"/>
        <v xml:space="preserve"> </v>
      </c>
      <c r="CK13" s="128"/>
      <c r="CL13" s="122" t="str">
        <f ca="1">IF(ISNUMBER(CR12),IF(MONTH(CR12)=MONTH(CR12+1),CR12+1,IF(CR12&lt;TODAY(),""," ")),CR12)</f>
        <v xml:space="preserve"> </v>
      </c>
      <c r="CM13" s="123" t="str">
        <f t="shared" ca="1" si="11"/>
        <v xml:space="preserve"> </v>
      </c>
      <c r="CN13" s="123" t="str">
        <f t="shared" ca="1" si="11"/>
        <v xml:space="preserve"> </v>
      </c>
      <c r="CO13" s="123" t="str">
        <f t="shared" ca="1" si="11"/>
        <v xml:space="preserve"> </v>
      </c>
      <c r="CP13" s="123" t="str">
        <f t="shared" ca="1" si="11"/>
        <v xml:space="preserve"> </v>
      </c>
      <c r="CQ13" s="123" t="str">
        <f t="shared" ca="1" si="11"/>
        <v xml:space="preserve"> </v>
      </c>
      <c r="CR13" s="124" t="str">
        <f t="shared" ca="1" si="11"/>
        <v xml:space="preserve"> </v>
      </c>
      <c r="CS13" s="72"/>
    </row>
    <row r="14" spans="1:97" ht="1.5" customHeight="1">
      <c r="A14" s="72"/>
      <c r="B14" s="72"/>
      <c r="C14" s="72"/>
      <c r="D14" s="72"/>
      <c r="E14" s="72"/>
      <c r="F14" s="72"/>
      <c r="G14" s="72"/>
      <c r="H14" s="72"/>
      <c r="I14" s="72"/>
      <c r="J14" s="72"/>
      <c r="K14" s="72"/>
      <c r="L14" s="72"/>
      <c r="M14" s="72"/>
      <c r="N14" s="72"/>
      <c r="O14" s="72"/>
      <c r="P14" s="72"/>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row>
    <row r="16" spans="1:97">
      <c r="B16" s="100" t="str">
        <f>'&gt; HELP &lt;'!B29</f>
        <v>Standard Content © 2014 Excel Automation Help  |  Submit Automation Requests to Help@ExcelAutomationHelp.com</v>
      </c>
    </row>
  </sheetData>
  <sheetProtection password="CC0E" sheet="1" objects="1" scenarios="1" selectLockedCells="1" sort="0" autoFilter="0"/>
  <dataConsolidate/>
  <mergeCells count="14">
    <mergeCell ref="Z6:AF6"/>
    <mergeCell ref="I2:O2"/>
    <mergeCell ref="I3:O3"/>
    <mergeCell ref="B6:H6"/>
    <mergeCell ref="J6:P6"/>
    <mergeCell ref="R6:X6"/>
    <mergeCell ref="CD6:CJ6"/>
    <mergeCell ref="CL6:CR6"/>
    <mergeCell ref="AH6:AN6"/>
    <mergeCell ref="AP6:AV6"/>
    <mergeCell ref="AX6:BD6"/>
    <mergeCell ref="BF6:BL6"/>
    <mergeCell ref="BN6:BT6"/>
    <mergeCell ref="BV6:CB6"/>
  </mergeCells>
  <conditionalFormatting sqref="H8:H13 B8:B13 P8:P13 J8:J13 X8:X13 R8:R13 AF8:AF13 Z8:Z13 AN8:AN13 AH8:AH13 AV8:AV13 AP8:AP13 BD8:BD13 AX8:AX13 BL8:BL13 BF8:BF13 BT8:BT13 BN8:BN13 CB8:CB13 BV8:BV13 CJ8:CJ13 CD8:CD13 CR8:CR13 CL8:CL13">
    <cfRule type="cellIs" dxfId="2" priority="3" stopIfTrue="1" operator="equal">
      <formula>TODAY()</formula>
    </cfRule>
  </conditionalFormatting>
  <conditionalFormatting sqref="C8:G13 K8:O13 S8:W13 AA8:AE13 AI8:AM13 AQ8:AU13 AY8:BC13 BG8:BK13 BO8:BS13 BW8:CA13 CE8:CI13 CM8:CQ13">
    <cfRule type="expression" dxfId="1" priority="1" stopIfTrue="1">
      <formula>C8=TODAY()</formula>
    </cfRule>
    <cfRule type="expression" dxfId="0" priority="2" stopIfTrue="1">
      <formula>OR(C8&lt;TODAY(),C8="")</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sheetPr codeName="Sheet6">
    <tabColor theme="0" tint="-0.499984740745262"/>
  </sheetPr>
  <dimension ref="A1:D22"/>
  <sheetViews>
    <sheetView showGridLines="0" zoomScaleNormal="100" workbookViewId="0"/>
  </sheetViews>
  <sheetFormatPr defaultRowHeight="15"/>
  <cols>
    <col min="1" max="1" width="2.85546875" customWidth="1"/>
    <col min="2" max="2" width="14" style="142" customWidth="1"/>
    <col min="3" max="3" width="87.7109375" customWidth="1"/>
    <col min="4" max="4" width="3.28515625" customWidth="1"/>
    <col min="5" max="8" width="16.5703125" customWidth="1"/>
  </cols>
  <sheetData>
    <row r="1" spans="1:4" ht="18">
      <c r="A1" s="96" t="s">
        <v>61</v>
      </c>
      <c r="B1" s="140"/>
      <c r="C1" s="39"/>
      <c r="D1" s="40"/>
    </row>
    <row r="2" spans="1:4">
      <c r="A2" s="41"/>
      <c r="B2" s="42" t="s">
        <v>5</v>
      </c>
      <c r="C2" s="42" t="s">
        <v>193</v>
      </c>
      <c r="D2" s="43"/>
    </row>
    <row r="3" spans="1:4">
      <c r="A3" s="44"/>
      <c r="B3" s="183" t="s">
        <v>170</v>
      </c>
      <c r="C3" s="181"/>
      <c r="D3" s="45"/>
    </row>
    <row r="4" spans="1:4">
      <c r="A4" s="44"/>
      <c r="B4" s="184" t="s">
        <v>162</v>
      </c>
      <c r="C4" s="187">
        <v>1</v>
      </c>
      <c r="D4" s="45"/>
    </row>
    <row r="5" spans="1:4">
      <c r="A5" s="44"/>
      <c r="B5" s="184" t="s">
        <v>163</v>
      </c>
      <c r="C5" s="188" t="s">
        <v>190</v>
      </c>
      <c r="D5" s="45"/>
    </row>
    <row r="6" spans="1:4" hidden="1">
      <c r="A6" s="44"/>
      <c r="B6" s="184" t="s">
        <v>171</v>
      </c>
      <c r="C6" s="189" t="s">
        <v>174</v>
      </c>
      <c r="D6" s="45"/>
    </row>
    <row r="7" spans="1:4">
      <c r="A7" s="44"/>
      <c r="B7" s="185" t="s">
        <v>164</v>
      </c>
      <c r="C7" s="181" t="s">
        <v>191</v>
      </c>
      <c r="D7" s="45"/>
    </row>
    <row r="8" spans="1:4" ht="30">
      <c r="A8" s="44"/>
      <c r="B8" s="185" t="s">
        <v>165</v>
      </c>
      <c r="C8" s="182" t="s">
        <v>192</v>
      </c>
      <c r="D8" s="45"/>
    </row>
    <row r="9" spans="1:4">
      <c r="A9" s="44"/>
      <c r="B9" s="185" t="s">
        <v>166</v>
      </c>
      <c r="C9" s="182"/>
      <c r="D9" s="45"/>
    </row>
    <row r="10" spans="1:4" hidden="1">
      <c r="A10" s="44"/>
      <c r="B10" s="184" t="s">
        <v>172</v>
      </c>
      <c r="C10" s="182">
        <v>1</v>
      </c>
      <c r="D10" s="45"/>
    </row>
    <row r="11" spans="1:4">
      <c r="A11" s="44"/>
      <c r="B11" s="185" t="s">
        <v>167</v>
      </c>
      <c r="C11" s="194"/>
      <c r="D11" s="45"/>
    </row>
    <row r="12" spans="1:4">
      <c r="A12" s="44"/>
      <c r="B12" s="185" t="s">
        <v>168</v>
      </c>
      <c r="C12" s="182"/>
      <c r="D12" s="45"/>
    </row>
    <row r="13" spans="1:4">
      <c r="A13" s="44"/>
      <c r="B13" s="185" t="s">
        <v>169</v>
      </c>
      <c r="C13" s="182"/>
      <c r="D13" s="45"/>
    </row>
    <row r="14" spans="1:4">
      <c r="A14" s="47"/>
      <c r="B14" s="48" t="s">
        <v>6</v>
      </c>
      <c r="C14" s="110">
        <v>41953.758240740739</v>
      </c>
      <c r="D14" s="49"/>
    </row>
    <row r="15" spans="1:4">
      <c r="A15" s="52" t="str">
        <f>SUBSTITUTE('&gt; HELP &lt;'!B29,"Submit Automation Requests to ","")</f>
        <v>Standard Content © 2014 Excel Automation Help  |  Help@ExcelAutomationHelp.com</v>
      </c>
      <c r="B15" s="51"/>
      <c r="C15" s="51"/>
      <c r="D15" s="50"/>
    </row>
    <row r="18" spans="1:4" ht="18">
      <c r="A18" s="96" t="s">
        <v>80</v>
      </c>
      <c r="B18" s="140"/>
      <c r="C18" s="97"/>
      <c r="D18" s="98"/>
    </row>
    <row r="19" spans="1:4">
      <c r="A19" s="41"/>
      <c r="B19" s="42"/>
      <c r="C19" s="42"/>
      <c r="D19" s="43"/>
    </row>
    <row r="20" spans="1:4">
      <c r="A20" s="44"/>
      <c r="B20" s="141" t="s">
        <v>81</v>
      </c>
      <c r="C20" s="46" t="str">
        <f>'&gt; AI LIST &lt;'!$B$45</f>
        <v>AI List (Action Item List) v5.13</v>
      </c>
      <c r="D20" s="45"/>
    </row>
    <row r="21" spans="1:4">
      <c r="A21" s="47"/>
      <c r="B21" s="48"/>
      <c r="C21" s="48"/>
      <c r="D21" s="49"/>
    </row>
    <row r="22" spans="1:4">
      <c r="A22" s="52" t="str">
        <f>SUBSTITUTE('&gt; HELP &lt;'!B29,"Submit Automation Requests to ","")</f>
        <v>Standard Content © 2014 Excel Automation Help  |  Help@ExcelAutomationHelp.com</v>
      </c>
      <c r="B22" s="51"/>
      <c r="C22" s="51"/>
      <c r="D22" s="50"/>
    </row>
  </sheetData>
  <sheetProtection selectLockedCells="1" selectUnlockedCells="1"/>
  <sortState ref="G26:G33">
    <sortCondition ref="G26"/>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5">
    <tabColor rgb="FFFFFF00"/>
    <pageSetUpPr fitToPage="1"/>
  </sheetPr>
  <dimension ref="A1:O97"/>
  <sheetViews>
    <sheetView showGridLines="0" showRowColHeaders="0" zoomScaleNormal="100" workbookViewId="0"/>
  </sheetViews>
  <sheetFormatPr defaultRowHeight="15"/>
  <cols>
    <col min="1" max="1" width="2.85546875" customWidth="1"/>
    <col min="2" max="2" width="14.28515625" customWidth="1"/>
    <col min="3" max="3" width="100.42578125" customWidth="1"/>
    <col min="4" max="4" width="1.7109375" customWidth="1"/>
    <col min="5" max="5" width="23.5703125" customWidth="1"/>
    <col min="6" max="6" width="31" customWidth="1"/>
  </cols>
  <sheetData>
    <row r="1" spans="1:6" ht="15" customHeight="1">
      <c r="A1" s="38"/>
      <c r="B1" s="38"/>
      <c r="C1" s="38"/>
    </row>
    <row r="2" spans="1:6" ht="15" customHeight="1">
      <c r="A2" s="38"/>
      <c r="B2" s="38"/>
      <c r="C2" s="38"/>
    </row>
    <row r="3" spans="1:6" ht="15" customHeight="1">
      <c r="A3" s="38"/>
      <c r="B3" s="38"/>
      <c r="C3" s="38"/>
    </row>
    <row r="4" spans="1:6" ht="15" customHeight="1" thickBot="1">
      <c r="A4" s="27"/>
      <c r="B4" s="27"/>
      <c r="C4" s="27"/>
    </row>
    <row r="5" spans="1:6" ht="24.75">
      <c r="A5" s="27"/>
      <c r="B5" s="238" t="s">
        <v>142</v>
      </c>
      <c r="C5" s="239"/>
      <c r="E5" s="236" t="s">
        <v>79</v>
      </c>
      <c r="F5" s="237"/>
    </row>
    <row r="6" spans="1:6" ht="15" customHeight="1">
      <c r="A6" s="27"/>
      <c r="B6" s="108" t="s">
        <v>52</v>
      </c>
      <c r="C6" s="186" t="str">
        <f>'&gt; AI LIST &lt;'!B45</f>
        <v>AI List (Action Item List) v5.13</v>
      </c>
      <c r="E6" s="108" t="s">
        <v>94</v>
      </c>
      <c r="F6" s="101"/>
    </row>
    <row r="7" spans="1:6" ht="15" customHeight="1">
      <c r="A7" s="27"/>
      <c r="B7" s="105" t="s">
        <v>83</v>
      </c>
      <c r="C7" s="106" t="s">
        <v>93</v>
      </c>
      <c r="E7" s="28" t="s">
        <v>62</v>
      </c>
      <c r="F7" s="102" t="s">
        <v>92</v>
      </c>
    </row>
    <row r="8" spans="1:6" ht="15" customHeight="1">
      <c r="A8" s="27"/>
      <c r="B8" s="107"/>
      <c r="C8" s="106" t="s">
        <v>86</v>
      </c>
      <c r="E8" s="28" t="s">
        <v>63</v>
      </c>
      <c r="F8" s="102" t="s">
        <v>64</v>
      </c>
    </row>
    <row r="9" spans="1:6" ht="15" customHeight="1">
      <c r="A9" s="27"/>
      <c r="B9" s="105" t="s">
        <v>84</v>
      </c>
      <c r="C9" s="106" t="s">
        <v>85</v>
      </c>
      <c r="E9" s="28" t="s">
        <v>99</v>
      </c>
      <c r="F9" s="102" t="s">
        <v>98</v>
      </c>
    </row>
    <row r="10" spans="1:6" ht="15" customHeight="1">
      <c r="A10" s="27"/>
      <c r="B10" s="105"/>
      <c r="C10" s="106" t="s">
        <v>87</v>
      </c>
      <c r="E10" s="28" t="s">
        <v>73</v>
      </c>
      <c r="F10" s="102" t="s">
        <v>74</v>
      </c>
    </row>
    <row r="11" spans="1:6" ht="15" customHeight="1">
      <c r="A11" s="27"/>
      <c r="B11" s="105" t="s">
        <v>88</v>
      </c>
      <c r="C11" s="106" t="s">
        <v>89</v>
      </c>
      <c r="E11" s="108" t="s">
        <v>95</v>
      </c>
      <c r="F11" s="102"/>
    </row>
    <row r="12" spans="1:6" ht="15" customHeight="1">
      <c r="A12" s="27"/>
      <c r="B12" s="107"/>
      <c r="C12" s="106" t="s">
        <v>90</v>
      </c>
      <c r="E12" s="28" t="s">
        <v>66</v>
      </c>
      <c r="F12" s="102" t="s">
        <v>69</v>
      </c>
    </row>
    <row r="13" spans="1:6" ht="15" customHeight="1">
      <c r="A13" s="27"/>
      <c r="B13" s="105"/>
      <c r="C13" s="106" t="s">
        <v>91</v>
      </c>
      <c r="E13" s="28" t="s">
        <v>65</v>
      </c>
      <c r="F13" s="102" t="s">
        <v>77</v>
      </c>
    </row>
    <row r="14" spans="1:6" ht="15" customHeight="1">
      <c r="A14" s="27"/>
      <c r="B14" s="107"/>
      <c r="C14" s="106"/>
      <c r="E14" s="28" t="s">
        <v>96</v>
      </c>
      <c r="F14" s="102" t="s">
        <v>97</v>
      </c>
    </row>
    <row r="15" spans="1:6" ht="15" customHeight="1" thickBot="1">
      <c r="A15" s="27"/>
      <c r="B15" s="103"/>
      <c r="C15" s="104"/>
      <c r="E15" s="29" t="s">
        <v>78</v>
      </c>
      <c r="F15" s="30" t="s">
        <v>72</v>
      </c>
    </row>
    <row r="16" spans="1:6" ht="15" customHeight="1">
      <c r="A16" s="27"/>
      <c r="B16" s="231" t="str">
        <f>B29</f>
        <v>Standard Content © 2014 Excel Automation Help  |  Submit Automation Requests to Help@ExcelAutomationHelp.com</v>
      </c>
      <c r="C16" s="231"/>
      <c r="E16" s="84"/>
    </row>
    <row r="17" spans="1:3" ht="15" customHeight="1">
      <c r="A17" s="27"/>
      <c r="B17" s="230" t="str">
        <f>B30</f>
        <v>Copyright applies to all company standard content, visual style, and standard programming code.  Unlawful to duplicate/modify standards without consent.</v>
      </c>
      <c r="C17" s="230"/>
    </row>
    <row r="18" spans="1:3" ht="15" customHeight="1" thickBot="1">
      <c r="A18" s="27"/>
      <c r="B18" s="27"/>
      <c r="C18" s="27"/>
    </row>
    <row r="19" spans="1:3" ht="25.5" customHeight="1">
      <c r="A19" s="27"/>
      <c r="B19" s="240" t="s">
        <v>152</v>
      </c>
      <c r="C19" s="241"/>
    </row>
    <row r="20" spans="1:3">
      <c r="A20" s="27"/>
      <c r="B20" s="242" t="s">
        <v>177</v>
      </c>
      <c r="C20" s="243"/>
    </row>
    <row r="21" spans="1:3">
      <c r="A21" s="27"/>
      <c r="B21" s="242"/>
      <c r="C21" s="243"/>
    </row>
    <row r="22" spans="1:3" hidden="1">
      <c r="A22" s="27"/>
      <c r="B22" s="31" t="s">
        <v>25</v>
      </c>
      <c r="C22" s="145" t="s">
        <v>126</v>
      </c>
    </row>
    <row r="23" spans="1:3" hidden="1">
      <c r="A23" s="27"/>
      <c r="B23" s="31" t="s">
        <v>25</v>
      </c>
      <c r="C23" s="114" t="s">
        <v>128</v>
      </c>
    </row>
    <row r="24" spans="1:3" hidden="1">
      <c r="A24" s="27"/>
      <c r="B24" s="31" t="s">
        <v>25</v>
      </c>
      <c r="C24" s="145" t="s">
        <v>127</v>
      </c>
    </row>
    <row r="25" spans="1:3">
      <c r="A25" s="27"/>
      <c r="B25" s="31" t="s">
        <v>25</v>
      </c>
      <c r="C25" s="145" t="s">
        <v>123</v>
      </c>
    </row>
    <row r="26" spans="1:3" ht="15" customHeight="1">
      <c r="A26" s="27"/>
      <c r="B26" s="31" t="s">
        <v>25</v>
      </c>
      <c r="C26" s="114" t="s">
        <v>141</v>
      </c>
    </row>
    <row r="27" spans="1:3" ht="15" customHeight="1">
      <c r="A27" s="27"/>
      <c r="B27" s="31" t="s">
        <v>25</v>
      </c>
      <c r="C27" s="145" t="s">
        <v>124</v>
      </c>
    </row>
    <row r="28" spans="1:3" ht="5.0999999999999996" customHeight="1" thickBot="1">
      <c r="A28" s="27"/>
      <c r="B28" s="32"/>
      <c r="C28" s="33"/>
    </row>
    <row r="29" spans="1:3" ht="15" customHeight="1">
      <c r="A29" s="27"/>
      <c r="B29" s="231" t="str">
        <f>IF(OR(AIUserVersion="CUser",AIUserVersion="RecentCUser"),"Standard Content © 2014",IF(AIUserVersion="ExcelAutomationHelp","Standard Content © 2014 Excel Automation Help  |  Submit Automation Requests to Help@ExcelAutomationHelp.com","Standard Content © 2014 JTF Automation  |  Submit Automation Requests to Help@JTFAutomation.com"))</f>
        <v>Standard Content © 2014 Excel Automation Help  |  Submit Automation Requests to Help@ExcelAutomationHelp.com</v>
      </c>
      <c r="C29" s="231"/>
    </row>
    <row r="30" spans="1:3" ht="15" customHeight="1">
      <c r="A30" s="27"/>
      <c r="B30" s="230" t="s">
        <v>53</v>
      </c>
      <c r="C30" s="230"/>
    </row>
    <row r="31" spans="1:3" s="190" customFormat="1" ht="15.75" thickBot="1"/>
    <row r="32" spans="1:3" ht="25.5" thickBot="1">
      <c r="A32" s="27"/>
      <c r="B32" s="234" t="s">
        <v>100</v>
      </c>
      <c r="C32" s="235"/>
    </row>
    <row r="33" spans="1:15" ht="15" customHeight="1">
      <c r="A33" s="27"/>
      <c r="B33" s="34" t="s">
        <v>105</v>
      </c>
      <c r="C33" s="35"/>
    </row>
    <row r="34" spans="1:15" ht="15" customHeight="1">
      <c r="A34" s="27"/>
      <c r="B34" s="36" t="s">
        <v>27</v>
      </c>
      <c r="C34" s="102" t="s">
        <v>140</v>
      </c>
    </row>
    <row r="35" spans="1:15" ht="15" customHeight="1">
      <c r="A35" s="27"/>
      <c r="B35" s="36" t="s">
        <v>28</v>
      </c>
      <c r="C35" s="102" t="s">
        <v>109</v>
      </c>
      <c r="N35" s="176"/>
      <c r="O35" s="176"/>
    </row>
    <row r="36" spans="1:15" ht="15" customHeight="1">
      <c r="A36" s="27"/>
      <c r="B36" s="36" t="s">
        <v>29</v>
      </c>
      <c r="C36" s="102" t="s">
        <v>102</v>
      </c>
    </row>
    <row r="37" spans="1:15" ht="15" customHeight="1">
      <c r="A37" s="27"/>
      <c r="B37" s="36" t="s">
        <v>30</v>
      </c>
      <c r="C37" s="102" t="s">
        <v>101</v>
      </c>
    </row>
    <row r="38" spans="1:15" ht="15" customHeight="1">
      <c r="A38" s="27"/>
      <c r="B38" s="36" t="s">
        <v>31</v>
      </c>
      <c r="C38" s="102" t="s">
        <v>103</v>
      </c>
    </row>
    <row r="39" spans="1:15" ht="15" customHeight="1">
      <c r="A39" s="27"/>
      <c r="B39" s="36" t="s">
        <v>68</v>
      </c>
      <c r="C39" s="102" t="s">
        <v>110</v>
      </c>
    </row>
    <row r="40" spans="1:15" ht="4.5" customHeight="1" thickBot="1">
      <c r="A40" s="27"/>
      <c r="B40" s="36"/>
      <c r="C40" s="102"/>
    </row>
    <row r="41" spans="1:15" ht="15" customHeight="1">
      <c r="A41" s="27"/>
      <c r="B41" s="34" t="s">
        <v>104</v>
      </c>
      <c r="C41" s="35"/>
    </row>
    <row r="42" spans="1:15" ht="15" customHeight="1">
      <c r="A42" s="27"/>
      <c r="B42" s="36" t="s">
        <v>27</v>
      </c>
      <c r="C42" s="102" t="s">
        <v>106</v>
      </c>
    </row>
    <row r="43" spans="1:15" ht="15" customHeight="1">
      <c r="A43" s="27"/>
      <c r="B43" s="36" t="s">
        <v>28</v>
      </c>
      <c r="C43" s="102" t="s">
        <v>107</v>
      </c>
    </row>
    <row r="44" spans="1:15" ht="15" customHeight="1">
      <c r="A44" s="27"/>
      <c r="B44" s="36" t="s">
        <v>29</v>
      </c>
      <c r="C44" s="102" t="s">
        <v>108</v>
      </c>
    </row>
    <row r="45" spans="1:15" ht="15" customHeight="1">
      <c r="A45" s="27"/>
      <c r="B45" s="36" t="s">
        <v>30</v>
      </c>
      <c r="C45" s="102" t="s">
        <v>111</v>
      </c>
    </row>
    <row r="46" spans="1:15" ht="5.0999999999999996" customHeight="1" thickBot="1">
      <c r="A46" s="27"/>
      <c r="B46" s="37"/>
      <c r="C46" s="30"/>
    </row>
    <row r="47" spans="1:15" ht="15" customHeight="1">
      <c r="A47" s="27"/>
      <c r="B47" s="231" t="str">
        <f>B29</f>
        <v>Standard Content © 2014 Excel Automation Help  |  Submit Automation Requests to Help@ExcelAutomationHelp.com</v>
      </c>
      <c r="C47" s="231"/>
    </row>
    <row r="48" spans="1:15" ht="15" customHeight="1">
      <c r="A48" s="27"/>
      <c r="B48" s="230" t="str">
        <f>B30</f>
        <v>Copyright applies to all company standard content, visual style, and standard programming code.  Unlawful to duplicate/modify standards without consent.</v>
      </c>
      <c r="C48" s="230"/>
    </row>
    <row r="49" spans="1:3" ht="15" customHeight="1" thickBot="1">
      <c r="A49" s="27"/>
      <c r="B49" s="27"/>
      <c r="C49" s="27"/>
    </row>
    <row r="50" spans="1:3" ht="25.5" thickBot="1">
      <c r="A50" s="27"/>
      <c r="B50" s="234" t="s">
        <v>115</v>
      </c>
      <c r="C50" s="235"/>
    </row>
    <row r="51" spans="1:3" ht="15" customHeight="1">
      <c r="A51" s="27"/>
      <c r="B51" s="34" t="s">
        <v>113</v>
      </c>
      <c r="C51" s="35"/>
    </row>
    <row r="52" spans="1:3" ht="30" customHeight="1">
      <c r="A52" s="27"/>
      <c r="B52" s="36" t="s">
        <v>27</v>
      </c>
      <c r="C52" s="102" t="s">
        <v>153</v>
      </c>
    </row>
    <row r="53" spans="1:3" ht="30" customHeight="1">
      <c r="A53" s="27"/>
      <c r="B53" s="36" t="s">
        <v>28</v>
      </c>
      <c r="C53" s="102" t="s">
        <v>154</v>
      </c>
    </row>
    <row r="54" spans="1:3" ht="30" customHeight="1">
      <c r="A54" s="27"/>
      <c r="B54" s="36" t="s">
        <v>29</v>
      </c>
      <c r="C54" s="102" t="s">
        <v>155</v>
      </c>
    </row>
    <row r="55" spans="1:3" ht="30" customHeight="1">
      <c r="A55" s="27"/>
      <c r="B55" s="36" t="s">
        <v>30</v>
      </c>
      <c r="C55" s="102" t="s">
        <v>173</v>
      </c>
    </row>
    <row r="56" spans="1:3" ht="30" customHeight="1">
      <c r="A56" s="27"/>
      <c r="B56" s="36" t="s">
        <v>31</v>
      </c>
      <c r="C56" s="102" t="s">
        <v>156</v>
      </c>
    </row>
    <row r="57" spans="1:3" ht="4.5" customHeight="1" thickBot="1">
      <c r="A57" s="27"/>
      <c r="B57" s="36"/>
      <c r="C57" s="102"/>
    </row>
    <row r="58" spans="1:3" ht="15" customHeight="1">
      <c r="A58" s="27"/>
      <c r="B58" s="34" t="s">
        <v>114</v>
      </c>
      <c r="C58" s="35"/>
    </row>
    <row r="59" spans="1:3" ht="30" customHeight="1">
      <c r="A59" s="27"/>
      <c r="B59" s="36" t="s">
        <v>68</v>
      </c>
      <c r="C59" s="102" t="s">
        <v>157</v>
      </c>
    </row>
    <row r="60" spans="1:3" ht="30" customHeight="1">
      <c r="A60" s="27"/>
      <c r="B60" s="36" t="s">
        <v>148</v>
      </c>
      <c r="C60" s="102" t="s">
        <v>158</v>
      </c>
    </row>
    <row r="61" spans="1:3" ht="30" customHeight="1">
      <c r="A61" s="27"/>
      <c r="B61" s="36" t="s">
        <v>149</v>
      </c>
      <c r="C61" s="102" t="s">
        <v>159</v>
      </c>
    </row>
    <row r="62" spans="1:3" ht="30" customHeight="1">
      <c r="A62" s="27"/>
      <c r="B62" s="36" t="s">
        <v>150</v>
      </c>
      <c r="C62" s="102" t="s">
        <v>160</v>
      </c>
    </row>
    <row r="63" spans="1:3" ht="30" customHeight="1">
      <c r="A63" s="27"/>
      <c r="B63" s="36" t="s">
        <v>151</v>
      </c>
      <c r="C63" s="102" t="s">
        <v>161</v>
      </c>
    </row>
    <row r="64" spans="1:3" ht="5.0999999999999996" customHeight="1" thickBot="1">
      <c r="A64" s="27"/>
      <c r="B64" s="37"/>
      <c r="C64" s="30"/>
    </row>
    <row r="65" spans="1:3" ht="15" customHeight="1">
      <c r="A65" s="27"/>
      <c r="B65" s="231" t="str">
        <f>B29</f>
        <v>Standard Content © 2014 Excel Automation Help  |  Submit Automation Requests to Help@ExcelAutomationHelp.com</v>
      </c>
      <c r="C65" s="231"/>
    </row>
    <row r="66" spans="1:3" ht="15" customHeight="1">
      <c r="A66" s="27"/>
      <c r="B66" s="230" t="str">
        <f>B30</f>
        <v>Copyright applies to all company standard content, visual style, and standard programming code.  Unlawful to duplicate/modify standards without consent.</v>
      </c>
      <c r="C66" s="230"/>
    </row>
    <row r="67" spans="1:3" ht="15.75" thickBot="1"/>
    <row r="68" spans="1:3" ht="25.5" thickBot="1">
      <c r="A68" s="27"/>
      <c r="B68" s="234" t="s">
        <v>26</v>
      </c>
      <c r="C68" s="235"/>
    </row>
    <row r="69" spans="1:3" ht="15" customHeight="1">
      <c r="A69" s="27"/>
      <c r="B69" s="232" t="s">
        <v>137</v>
      </c>
      <c r="C69" s="233"/>
    </row>
    <row r="70" spans="1:3" ht="25.5">
      <c r="A70" s="27"/>
      <c r="B70" s="28" t="s">
        <v>24</v>
      </c>
      <c r="C70" s="109" t="s">
        <v>138</v>
      </c>
    </row>
    <row r="71" spans="1:3" ht="5.0999999999999996" customHeight="1">
      <c r="A71" s="27"/>
      <c r="B71" s="28"/>
      <c r="C71" s="109"/>
    </row>
    <row r="72" spans="1:3" ht="25.5">
      <c r="A72" s="27"/>
      <c r="B72" s="28" t="s">
        <v>24</v>
      </c>
      <c r="C72" s="109" t="str">
        <f>"The Company:  The sole authorized creators and owners of this file are " &amp; IF(OR(AIUserVersion="CUser",AIUserVersion="RecentCUser",AIUserVersion="ExcelAutomationHelp"),"Excel Automation Help","JTF Automation") &amp; ", its parent company, and any sub-division thereof.  (hereafter defined as the 'Company')"</f>
        <v>The Company:  The sole authorized creators and owners of this file are Excel Automation Help, its parent company, and any sub-division thereof.  (hereafter defined as the 'Company')</v>
      </c>
    </row>
    <row r="73" spans="1:3" ht="5.0999999999999996" customHeight="1">
      <c r="A73" s="27"/>
      <c r="B73" s="28"/>
      <c r="C73" s="109"/>
    </row>
    <row r="74" spans="1:3" ht="63.75">
      <c r="A74" s="27"/>
      <c r="B74" s="28" t="s">
        <v>24</v>
      </c>
      <c r="C74" s="109" t="s">
        <v>131</v>
      </c>
    </row>
    <row r="75" spans="1:3" ht="5.0999999999999996" customHeight="1">
      <c r="A75" s="27"/>
      <c r="B75" s="28"/>
      <c r="C75" s="53"/>
    </row>
    <row r="76" spans="1:3" ht="51">
      <c r="A76" s="27"/>
      <c r="B76" s="28" t="s">
        <v>24</v>
      </c>
      <c r="C76" s="109" t="s">
        <v>139</v>
      </c>
    </row>
    <row r="77" spans="1:3" ht="5.0999999999999996" customHeight="1">
      <c r="A77" s="27"/>
      <c r="B77" s="28"/>
      <c r="C77" s="53"/>
    </row>
    <row r="78" spans="1:3" ht="51">
      <c r="A78" s="27"/>
      <c r="B78" s="28" t="s">
        <v>24</v>
      </c>
      <c r="C78" s="109" t="s">
        <v>132</v>
      </c>
    </row>
    <row r="79" spans="1:3" ht="5.0999999999999996" customHeight="1">
      <c r="A79" s="27"/>
      <c r="B79" s="28"/>
      <c r="C79" s="53"/>
    </row>
    <row r="80" spans="1:3" ht="38.25">
      <c r="A80" s="27"/>
      <c r="B80" s="28" t="s">
        <v>24</v>
      </c>
      <c r="C80" s="109" t="s">
        <v>122</v>
      </c>
    </row>
    <row r="81" spans="1:3" ht="5.0999999999999996" customHeight="1">
      <c r="A81" s="27"/>
      <c r="B81" s="28"/>
      <c r="C81" s="109"/>
    </row>
    <row r="82" spans="1:3">
      <c r="A82" s="27"/>
      <c r="B82" s="28" t="s">
        <v>24</v>
      </c>
      <c r="C82" s="109" t="s">
        <v>133</v>
      </c>
    </row>
    <row r="83" spans="1:3" ht="5.0999999999999996" customHeight="1">
      <c r="A83" s="27"/>
      <c r="B83" s="28"/>
      <c r="C83" s="109"/>
    </row>
    <row r="84" spans="1:3" ht="25.5">
      <c r="A84" s="27"/>
      <c r="B84" s="28" t="s">
        <v>24</v>
      </c>
      <c r="C84" s="109" t="s">
        <v>134</v>
      </c>
    </row>
    <row r="85" spans="1:3" ht="5.0999999999999996" customHeight="1">
      <c r="A85" s="27"/>
      <c r="B85" s="28"/>
      <c r="C85" s="109"/>
    </row>
    <row r="86" spans="1:3" ht="38.25">
      <c r="A86" s="27"/>
      <c r="B86" s="28" t="s">
        <v>24</v>
      </c>
      <c r="C86" s="109" t="s">
        <v>129</v>
      </c>
    </row>
    <row r="87" spans="1:3" ht="5.0999999999999996" customHeight="1">
      <c r="A87" s="27"/>
      <c r="B87" s="28"/>
      <c r="C87" s="109"/>
    </row>
    <row r="88" spans="1:3" ht="25.5">
      <c r="A88" s="27"/>
      <c r="B88" s="28" t="s">
        <v>24</v>
      </c>
      <c r="C88" s="109" t="s">
        <v>130</v>
      </c>
    </row>
    <row r="89" spans="1:3" ht="5.0999999999999996" customHeight="1">
      <c r="A89" s="27"/>
      <c r="B89" s="28"/>
      <c r="C89" s="109"/>
    </row>
    <row r="90" spans="1:3" ht="89.25">
      <c r="A90" s="27"/>
      <c r="B90" s="28" t="s">
        <v>24</v>
      </c>
      <c r="C90" s="109" t="s">
        <v>135</v>
      </c>
    </row>
    <row r="91" spans="1:3" ht="5.0999999999999996" customHeight="1">
      <c r="A91" s="27"/>
      <c r="B91" s="28"/>
      <c r="C91" s="109"/>
    </row>
    <row r="92" spans="1:3" ht="51">
      <c r="A92" s="27"/>
      <c r="B92" s="28" t="s">
        <v>24</v>
      </c>
      <c r="C92" s="109" t="s">
        <v>143</v>
      </c>
    </row>
    <row r="93" spans="1:3" ht="5.0999999999999996" customHeight="1">
      <c r="A93" s="27"/>
      <c r="B93" s="28"/>
      <c r="C93" s="109"/>
    </row>
    <row r="94" spans="1:3" ht="118.5" customHeight="1">
      <c r="A94" s="27"/>
      <c r="B94" s="28" t="s">
        <v>24</v>
      </c>
      <c r="C94" s="109" t="s">
        <v>136</v>
      </c>
    </row>
    <row r="95" spans="1:3" ht="5.0999999999999996" customHeight="1" thickBot="1">
      <c r="A95" s="27"/>
      <c r="B95" s="29"/>
      <c r="C95" s="30"/>
    </row>
    <row r="96" spans="1:3" ht="15" customHeight="1">
      <c r="A96" s="27"/>
      <c r="B96" s="231" t="str">
        <f>B29</f>
        <v>Standard Content © 2014 Excel Automation Help  |  Submit Automation Requests to Help@ExcelAutomationHelp.com</v>
      </c>
      <c r="C96" s="231"/>
    </row>
    <row r="97" spans="1:3" ht="15" customHeight="1">
      <c r="A97" s="27"/>
      <c r="B97" s="230" t="str">
        <f>B30</f>
        <v>Copyright applies to all company standard content, visual style, and standard programming code.  Unlawful to duplicate/modify standards without consent.</v>
      </c>
      <c r="C97" s="230"/>
    </row>
  </sheetData>
  <sheetProtection password="CC0E" sheet="1" objects="1" scenarios="1"/>
  <mergeCells count="18">
    <mergeCell ref="E5:F5"/>
    <mergeCell ref="B5:C5"/>
    <mergeCell ref="B19:C19"/>
    <mergeCell ref="B68:C68"/>
    <mergeCell ref="B20:C21"/>
    <mergeCell ref="B97:C97"/>
    <mergeCell ref="B47:C47"/>
    <mergeCell ref="B48:C48"/>
    <mergeCell ref="B96:C96"/>
    <mergeCell ref="B16:C16"/>
    <mergeCell ref="B17:C17"/>
    <mergeCell ref="B29:C29"/>
    <mergeCell ref="B30:C30"/>
    <mergeCell ref="B69:C69"/>
    <mergeCell ref="B65:C65"/>
    <mergeCell ref="B66:C66"/>
    <mergeCell ref="B32:C32"/>
    <mergeCell ref="B50:C50"/>
  </mergeCells>
  <hyperlinks>
    <hyperlink ref="C25" r:id="rId1"/>
    <hyperlink ref="C27" r:id="rId2"/>
    <hyperlink ref="C22" r:id="rId3"/>
    <hyperlink ref="C24" r:id="rId4"/>
  </hyperlinks>
  <printOptions horizontalCentered="1"/>
  <pageMargins left="0.7" right="0.7" top="0.75" bottom="0.75" header="0.3" footer="0.3"/>
  <pageSetup scale="55" fitToHeight="0" orientation="portrait" horizontalDpi="1200" verticalDpi="1200" r:id="rId5"/>
  <drawing r:id="rId6"/>
</worksheet>
</file>

<file path=xl/worksheets/sheet5.xml><?xml version="1.0" encoding="utf-8"?>
<worksheet xmlns="http://schemas.openxmlformats.org/spreadsheetml/2006/main" xmlns:r="http://schemas.openxmlformats.org/officeDocument/2006/relationships">
  <sheetPr codeName="Sheet3">
    <tabColor rgb="FF00FF00"/>
  </sheetPr>
  <dimension ref="B2"/>
  <sheetViews>
    <sheetView workbookViewId="0"/>
  </sheetViews>
  <sheetFormatPr defaultRowHeight="15"/>
  <sheetData>
    <row r="2" spans="2:2">
      <c r="B2" s="144" t="s">
        <v>125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&gt; AI LIST &lt;</vt:lpstr>
      <vt:lpstr>&gt; HELP &lt;</vt:lpstr>
      <vt:lpstr>&lt;Add Your Sheets Here&gt;</vt:lpstr>
      <vt:lpstr>'••Calendar'!CalendarMonthOffset</vt:lpstr>
      <vt:lpstr>HELP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ExcelAutomationHelp.com (c) 2014 | +1 315-805-HELP</dc:creator>
  <dc:description>ExcelAutomationHelp.com (c) 2014 | +1 315-805-HELP</dc:description>
  <cp:lastModifiedBy>James Ficarra</cp:lastModifiedBy>
  <cp:lastPrinted>2014-08-29T18:47:14Z</cp:lastPrinted>
  <dcterms:created xsi:type="dcterms:W3CDTF">2011-08-02T23:51:14Z</dcterms:created>
  <dcterms:modified xsi:type="dcterms:W3CDTF">2014-11-21T23:57:11Z</dcterms:modified>
</cp:coreProperties>
</file>